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5" documentId="8_{7A9B6DA7-301B-4A6C-A75A-4F7372A537EF}" xr6:coauthVersionLast="47" xr6:coauthVersionMax="47" xr10:uidLastSave="{1E988C82-2B50-4666-AD66-3CB20E76BFE1}"/>
  <bookViews>
    <workbookView xWindow="-98" yWindow="-98" windowWidth="21795" windowHeight="13875" xr2:uid="{A6982383-4059-434C-B772-72AF4B405376}"/>
  </bookViews>
  <sheets>
    <sheet name="QUERY 1" sheetId="1" r:id="rId1"/>
    <sheet name="QUERY 2" sheetId="2" r:id="rId2"/>
    <sheet name="QUERY 3" sheetId="3" r:id="rId3"/>
  </sheets>
  <externalReferences>
    <externalReference r:id="rId4"/>
    <externalReference r:id="rId5"/>
    <externalReference r:id="rId6"/>
  </externalReferences>
  <definedNames>
    <definedName name="_xlnm._FilterDatabase" localSheetId="0" hidden="1">'QUERY 1'!$A$1:$F$969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9" i="3" l="1"/>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B719" i="3"/>
  <c r="E718" i="3"/>
  <c r="B718" i="3"/>
  <c r="E717" i="3"/>
  <c r="B717" i="3"/>
  <c r="E716" i="3"/>
  <c r="B716" i="3"/>
  <c r="E715" i="3"/>
  <c r="B715" i="3"/>
  <c r="E714" i="3"/>
  <c r="B714" i="3"/>
  <c r="E713" i="3"/>
  <c r="B713" i="3"/>
  <c r="E712" i="3"/>
  <c r="B712" i="3"/>
  <c r="E711" i="3"/>
  <c r="B711" i="3"/>
  <c r="E710" i="3"/>
  <c r="B710" i="3"/>
  <c r="E709" i="3"/>
  <c r="B709" i="3"/>
  <c r="E708" i="3"/>
  <c r="B708" i="3"/>
  <c r="E707" i="3"/>
  <c r="B707" i="3"/>
  <c r="E706" i="3"/>
  <c r="B706" i="3"/>
  <c r="E705" i="3"/>
  <c r="B705" i="3"/>
  <c r="E704" i="3"/>
  <c r="B704" i="3"/>
  <c r="E703" i="3"/>
  <c r="B703" i="3"/>
  <c r="E702" i="3"/>
  <c r="B702" i="3"/>
  <c r="E701" i="3"/>
  <c r="B701" i="3"/>
  <c r="E700" i="3"/>
  <c r="B700" i="3"/>
  <c r="E699" i="3"/>
  <c r="B699" i="3"/>
  <c r="E698" i="3"/>
  <c r="B698" i="3"/>
  <c r="E697" i="3"/>
  <c r="B697" i="3"/>
  <c r="E696" i="3"/>
  <c r="B696" i="3"/>
  <c r="E695" i="3"/>
  <c r="B695" i="3"/>
  <c r="E694" i="3"/>
  <c r="B694" i="3"/>
  <c r="E693" i="3"/>
  <c r="B693" i="3"/>
  <c r="E692" i="3"/>
  <c r="B692" i="3"/>
  <c r="E691" i="3"/>
  <c r="B691" i="3"/>
  <c r="E690" i="3"/>
  <c r="B690" i="3"/>
  <c r="E689" i="3"/>
  <c r="B689" i="3"/>
  <c r="E688" i="3"/>
  <c r="B688" i="3"/>
  <c r="E687" i="3"/>
  <c r="B687" i="3"/>
  <c r="E686" i="3"/>
  <c r="B686" i="3"/>
  <c r="E685" i="3"/>
  <c r="B685" i="3"/>
  <c r="E684" i="3"/>
  <c r="B684" i="3"/>
  <c r="E683" i="3"/>
  <c r="B683" i="3"/>
  <c r="E682" i="3"/>
  <c r="B682" i="3"/>
  <c r="E681" i="3"/>
  <c r="B681" i="3"/>
  <c r="E680" i="3"/>
  <c r="B680" i="3"/>
  <c r="E679" i="3"/>
  <c r="B679" i="3"/>
  <c r="E678" i="3"/>
  <c r="B678" i="3"/>
  <c r="E677" i="3"/>
  <c r="B677" i="3"/>
  <c r="E676" i="3"/>
  <c r="B676" i="3"/>
  <c r="E675" i="3"/>
  <c r="B675" i="3"/>
  <c r="E674" i="3"/>
  <c r="B674" i="3"/>
  <c r="E673" i="3"/>
  <c r="B673" i="3"/>
  <c r="E672" i="3"/>
  <c r="B672" i="3"/>
  <c r="E671" i="3"/>
  <c r="B671" i="3"/>
  <c r="E670" i="3"/>
  <c r="B670" i="3"/>
  <c r="E669" i="3"/>
  <c r="B669" i="3"/>
  <c r="E668" i="3"/>
  <c r="B668" i="3"/>
  <c r="E667" i="3"/>
  <c r="B667" i="3"/>
  <c r="E666" i="3"/>
  <c r="B666" i="3"/>
  <c r="E665" i="3"/>
  <c r="B665" i="3"/>
  <c r="E664" i="3"/>
  <c r="B664" i="3"/>
  <c r="E663" i="3"/>
  <c r="B663" i="3"/>
  <c r="E662" i="3"/>
  <c r="B662" i="3"/>
  <c r="E661" i="3"/>
  <c r="B661" i="3"/>
  <c r="E660" i="3"/>
  <c r="B660" i="3"/>
  <c r="E659" i="3"/>
  <c r="B659" i="3"/>
  <c r="E658" i="3"/>
  <c r="B658" i="3"/>
  <c r="E657" i="3"/>
  <c r="B657" i="3"/>
  <c r="E656" i="3"/>
  <c r="B656" i="3"/>
  <c r="E655" i="3"/>
  <c r="B655" i="3"/>
  <c r="E654" i="3"/>
  <c r="B654" i="3"/>
  <c r="E653" i="3"/>
  <c r="B653" i="3"/>
  <c r="E652" i="3"/>
  <c r="B652" i="3"/>
  <c r="E651" i="3"/>
  <c r="B651" i="3"/>
  <c r="E650" i="3"/>
  <c r="B650" i="3"/>
  <c r="E649" i="3"/>
  <c r="B649" i="3"/>
  <c r="E648" i="3"/>
  <c r="B648" i="3"/>
  <c r="E647" i="3"/>
  <c r="B647" i="3"/>
  <c r="E646" i="3"/>
  <c r="B646" i="3"/>
  <c r="E645" i="3"/>
  <c r="B645" i="3"/>
  <c r="E644" i="3"/>
  <c r="B644" i="3"/>
  <c r="E643" i="3"/>
  <c r="B643" i="3"/>
  <c r="E642" i="3"/>
  <c r="B642" i="3"/>
  <c r="E641" i="3"/>
  <c r="B641" i="3"/>
  <c r="E640" i="3"/>
  <c r="B640" i="3"/>
  <c r="E639" i="3"/>
  <c r="B639" i="3"/>
  <c r="E638" i="3"/>
  <c r="B638" i="3"/>
  <c r="E637" i="3"/>
  <c r="B637" i="3"/>
  <c r="E636" i="3"/>
  <c r="B636" i="3"/>
  <c r="E635" i="3"/>
  <c r="B635" i="3"/>
  <c r="E634" i="3"/>
  <c r="B634" i="3"/>
  <c r="E633" i="3"/>
  <c r="B633" i="3"/>
  <c r="E632" i="3"/>
  <c r="B632" i="3"/>
  <c r="E631" i="3"/>
  <c r="B631" i="3"/>
  <c r="E630" i="3"/>
  <c r="B630" i="3"/>
  <c r="E629" i="3"/>
  <c r="B629" i="3"/>
  <c r="E628" i="3"/>
  <c r="B628" i="3"/>
  <c r="E627" i="3"/>
  <c r="B627" i="3"/>
  <c r="E626" i="3"/>
  <c r="B626" i="3"/>
  <c r="E625" i="3"/>
  <c r="B625" i="3"/>
  <c r="E624" i="3"/>
  <c r="B624" i="3"/>
  <c r="E623" i="3"/>
  <c r="B623" i="3"/>
  <c r="E622" i="3"/>
  <c r="B622" i="3"/>
  <c r="E621" i="3"/>
  <c r="B621" i="3"/>
  <c r="E620" i="3"/>
  <c r="B620" i="3"/>
  <c r="E619" i="3"/>
  <c r="B619" i="3"/>
  <c r="E618" i="3"/>
  <c r="B618" i="3"/>
  <c r="E617" i="3"/>
  <c r="B617" i="3"/>
  <c r="E616" i="3"/>
  <c r="B616" i="3"/>
  <c r="E615" i="3"/>
  <c r="B615" i="3"/>
  <c r="E614" i="3"/>
  <c r="B614" i="3"/>
  <c r="E613" i="3"/>
  <c r="B613" i="3"/>
  <c r="E612" i="3"/>
  <c r="B612" i="3"/>
  <c r="E611" i="3"/>
  <c r="B611" i="3"/>
  <c r="E610" i="3"/>
  <c r="B610" i="3"/>
  <c r="E609" i="3"/>
  <c r="B609" i="3"/>
  <c r="E608" i="3"/>
  <c r="B608" i="3"/>
  <c r="E607" i="3"/>
  <c r="B607" i="3"/>
  <c r="E606" i="3"/>
  <c r="B606" i="3"/>
  <c r="E605" i="3"/>
  <c r="B605" i="3"/>
  <c r="E604" i="3"/>
  <c r="B604" i="3"/>
  <c r="E603" i="3"/>
  <c r="B603" i="3"/>
  <c r="E602" i="3"/>
  <c r="B602" i="3"/>
  <c r="E601" i="3"/>
  <c r="B601" i="3"/>
  <c r="E600" i="3"/>
  <c r="B600" i="3"/>
  <c r="E599" i="3"/>
  <c r="B599" i="3"/>
  <c r="E598" i="3"/>
  <c r="B598" i="3"/>
  <c r="E597" i="3"/>
  <c r="B597" i="3"/>
  <c r="E596" i="3"/>
  <c r="B596" i="3"/>
  <c r="E595" i="3"/>
  <c r="B595" i="3"/>
  <c r="E594" i="3"/>
  <c r="B594" i="3"/>
  <c r="E593" i="3"/>
  <c r="B593" i="3"/>
  <c r="E592" i="3"/>
  <c r="B592" i="3"/>
  <c r="E591" i="3"/>
  <c r="B591" i="3"/>
  <c r="E590" i="3"/>
  <c r="B590" i="3"/>
  <c r="E589" i="3"/>
  <c r="B589" i="3"/>
  <c r="E588" i="3"/>
  <c r="B588" i="3"/>
  <c r="E587" i="3"/>
  <c r="B587" i="3"/>
  <c r="E586" i="3"/>
  <c r="B586" i="3"/>
  <c r="E585" i="3"/>
  <c r="B585" i="3"/>
  <c r="E584" i="3"/>
  <c r="B584" i="3"/>
  <c r="E583" i="3"/>
  <c r="B583" i="3"/>
  <c r="E582" i="3"/>
  <c r="B582" i="3"/>
  <c r="E581" i="3"/>
  <c r="B581" i="3"/>
  <c r="E580" i="3"/>
  <c r="B580" i="3"/>
  <c r="E579" i="3"/>
  <c r="B579" i="3"/>
  <c r="E578" i="3"/>
  <c r="B578" i="3"/>
  <c r="E577" i="3"/>
  <c r="B577" i="3"/>
  <c r="E576" i="3"/>
  <c r="B576" i="3"/>
  <c r="E575" i="3"/>
  <c r="B575" i="3"/>
  <c r="E574" i="3"/>
  <c r="B574" i="3"/>
  <c r="E573" i="3"/>
  <c r="B573" i="3"/>
  <c r="E572" i="3"/>
  <c r="B572" i="3"/>
  <c r="E571" i="3"/>
  <c r="B571" i="3"/>
  <c r="E570" i="3"/>
  <c r="B570" i="3"/>
  <c r="E569" i="3"/>
  <c r="B569" i="3"/>
  <c r="E568" i="3"/>
  <c r="B568" i="3"/>
  <c r="E567" i="3"/>
  <c r="B567" i="3"/>
  <c r="E566" i="3"/>
  <c r="B566" i="3"/>
  <c r="E565" i="3"/>
  <c r="B565" i="3"/>
  <c r="E564" i="3"/>
  <c r="B564" i="3"/>
  <c r="E563" i="3"/>
  <c r="B563" i="3"/>
  <c r="E562" i="3"/>
  <c r="B562" i="3"/>
  <c r="E561" i="3"/>
  <c r="B561" i="3"/>
  <c r="E560" i="3"/>
  <c r="B560" i="3"/>
  <c r="E559" i="3"/>
  <c r="B559" i="3"/>
  <c r="E558" i="3"/>
  <c r="B558" i="3"/>
  <c r="E557" i="3"/>
  <c r="B557" i="3"/>
  <c r="E556" i="3"/>
  <c r="B556" i="3"/>
  <c r="E555" i="3"/>
  <c r="B555" i="3"/>
  <c r="E554" i="3"/>
  <c r="B554" i="3"/>
  <c r="E553" i="3"/>
  <c r="B553" i="3"/>
  <c r="E552" i="3"/>
  <c r="B552" i="3"/>
  <c r="E551" i="3"/>
  <c r="B551" i="3"/>
  <c r="E550" i="3"/>
  <c r="B550" i="3"/>
  <c r="E549" i="3"/>
  <c r="B549" i="3"/>
  <c r="E548" i="3"/>
  <c r="B548" i="3"/>
  <c r="E547" i="3"/>
  <c r="B547" i="3"/>
  <c r="E546" i="3"/>
  <c r="B546" i="3"/>
  <c r="E545" i="3"/>
  <c r="B545" i="3"/>
  <c r="E544" i="3"/>
  <c r="B544" i="3"/>
  <c r="E543" i="3"/>
  <c r="B543" i="3"/>
  <c r="E542" i="3"/>
  <c r="B542" i="3"/>
  <c r="E541" i="3"/>
  <c r="B541" i="3"/>
  <c r="E540" i="3"/>
  <c r="B540" i="3"/>
  <c r="E539" i="3"/>
  <c r="B539" i="3"/>
  <c r="E538" i="3"/>
  <c r="B538" i="3"/>
  <c r="E537" i="3"/>
  <c r="B537" i="3"/>
  <c r="E536" i="3"/>
  <c r="B536" i="3"/>
  <c r="E535" i="3"/>
  <c r="B535" i="3"/>
  <c r="E534" i="3"/>
  <c r="B534" i="3"/>
  <c r="E533" i="3"/>
  <c r="B533" i="3"/>
  <c r="E532" i="3"/>
  <c r="B532" i="3"/>
  <c r="E531" i="3"/>
  <c r="B531" i="3"/>
  <c r="E530" i="3"/>
  <c r="B530" i="3"/>
  <c r="E529" i="3"/>
  <c r="B529" i="3"/>
  <c r="E528" i="3"/>
  <c r="B528" i="3"/>
  <c r="E527" i="3"/>
  <c r="B527" i="3"/>
  <c r="E526" i="3"/>
  <c r="B526" i="3"/>
  <c r="E525" i="3"/>
  <c r="B525" i="3"/>
  <c r="E524" i="3"/>
  <c r="B524" i="3"/>
  <c r="E523" i="3"/>
  <c r="B523" i="3"/>
  <c r="E522" i="3"/>
  <c r="B522" i="3"/>
  <c r="E521" i="3"/>
  <c r="B521" i="3"/>
  <c r="E520" i="3"/>
  <c r="B520" i="3"/>
  <c r="E519" i="3"/>
  <c r="B519" i="3"/>
  <c r="E518" i="3"/>
  <c r="B518" i="3"/>
  <c r="E517" i="3"/>
  <c r="B517" i="3"/>
  <c r="E516" i="3"/>
  <c r="B516" i="3"/>
  <c r="E515" i="3"/>
  <c r="B515" i="3"/>
  <c r="E514" i="3"/>
  <c r="B514" i="3"/>
  <c r="E513" i="3"/>
  <c r="B513" i="3"/>
  <c r="E512" i="3"/>
  <c r="B512" i="3"/>
  <c r="E511" i="3"/>
  <c r="B511" i="3"/>
  <c r="E510" i="3"/>
  <c r="B510" i="3"/>
  <c r="E509" i="3"/>
  <c r="B509" i="3"/>
  <c r="E508" i="3"/>
  <c r="B508" i="3"/>
  <c r="E507" i="3"/>
  <c r="B507" i="3"/>
  <c r="E506" i="3"/>
  <c r="B506" i="3"/>
  <c r="E505" i="3"/>
  <c r="B505" i="3"/>
  <c r="E504" i="3"/>
  <c r="B504" i="3"/>
  <c r="E503" i="3"/>
  <c r="B503" i="3"/>
  <c r="E502" i="3"/>
  <c r="B502" i="3"/>
  <c r="E501" i="3"/>
  <c r="B501" i="3"/>
  <c r="E500" i="3"/>
  <c r="B500" i="3"/>
  <c r="E499" i="3"/>
  <c r="B499" i="3"/>
  <c r="E498" i="3"/>
  <c r="B498" i="3"/>
  <c r="E497" i="3"/>
  <c r="B497" i="3"/>
  <c r="E496" i="3"/>
  <c r="B496" i="3"/>
  <c r="E495" i="3"/>
  <c r="B495" i="3"/>
  <c r="E494" i="3"/>
  <c r="B494" i="3"/>
  <c r="E493" i="3"/>
  <c r="B493" i="3"/>
  <c r="E492" i="3"/>
  <c r="B492" i="3"/>
  <c r="E491" i="3"/>
  <c r="B491" i="3"/>
  <c r="E490" i="3"/>
  <c r="B490" i="3"/>
  <c r="E489" i="3"/>
  <c r="B489" i="3"/>
  <c r="E488" i="3"/>
  <c r="B488" i="3"/>
  <c r="E487" i="3"/>
  <c r="B487" i="3"/>
  <c r="E486" i="3"/>
  <c r="B486" i="3"/>
  <c r="E485" i="3"/>
  <c r="B485" i="3"/>
  <c r="E484" i="3"/>
  <c r="B484" i="3"/>
  <c r="E483" i="3"/>
  <c r="B483" i="3"/>
  <c r="E482" i="3"/>
  <c r="B482" i="3"/>
  <c r="E481" i="3"/>
  <c r="B481" i="3"/>
  <c r="E480" i="3"/>
  <c r="B480" i="3"/>
  <c r="E479" i="3"/>
  <c r="B479" i="3"/>
  <c r="E478" i="3"/>
  <c r="B478" i="3"/>
  <c r="E477" i="3"/>
  <c r="B477" i="3"/>
  <c r="E476" i="3"/>
  <c r="B476" i="3"/>
  <c r="E475" i="3"/>
  <c r="B475" i="3"/>
  <c r="E474" i="3"/>
  <c r="B474" i="3"/>
  <c r="E473" i="3"/>
  <c r="B473" i="3"/>
  <c r="E472" i="3"/>
  <c r="B472" i="3"/>
  <c r="E471" i="3"/>
  <c r="B471" i="3"/>
  <c r="E470" i="3"/>
  <c r="B470" i="3"/>
  <c r="E469" i="3"/>
  <c r="B469" i="3"/>
  <c r="E468" i="3"/>
  <c r="B468" i="3"/>
  <c r="E467" i="3"/>
  <c r="B467" i="3"/>
  <c r="E466" i="3"/>
  <c r="B466" i="3"/>
  <c r="E465" i="3"/>
  <c r="B465" i="3"/>
  <c r="E464" i="3"/>
  <c r="B464" i="3"/>
  <c r="E463" i="3"/>
  <c r="B463" i="3"/>
  <c r="E462" i="3"/>
  <c r="B462" i="3"/>
  <c r="E461" i="3"/>
  <c r="B461" i="3"/>
  <c r="E460" i="3"/>
  <c r="B460" i="3"/>
  <c r="E459" i="3"/>
  <c r="B459" i="3"/>
  <c r="E458" i="3"/>
  <c r="B458" i="3"/>
  <c r="E457" i="3"/>
  <c r="B457" i="3"/>
  <c r="E456" i="3"/>
  <c r="B456" i="3"/>
  <c r="E455" i="3"/>
  <c r="B455" i="3"/>
  <c r="E454" i="3"/>
  <c r="B454" i="3"/>
  <c r="E453" i="3"/>
  <c r="B453" i="3"/>
  <c r="E452" i="3"/>
  <c r="B452" i="3"/>
  <c r="E451" i="3"/>
  <c r="B451" i="3"/>
  <c r="E450" i="3"/>
  <c r="B450" i="3"/>
  <c r="E449" i="3"/>
  <c r="B449" i="3"/>
  <c r="E448" i="3"/>
  <c r="B448" i="3"/>
  <c r="E447" i="3"/>
  <c r="B447" i="3"/>
  <c r="E446" i="3"/>
  <c r="B446" i="3"/>
  <c r="E445" i="3"/>
  <c r="B445" i="3"/>
  <c r="E444" i="3"/>
  <c r="B444" i="3"/>
  <c r="E443" i="3"/>
  <c r="B443" i="3"/>
  <c r="E442" i="3"/>
  <c r="B442" i="3"/>
  <c r="E441" i="3"/>
  <c r="B441" i="3"/>
  <c r="E440" i="3"/>
  <c r="B440" i="3"/>
  <c r="E439" i="3"/>
  <c r="B439" i="3"/>
  <c r="E438" i="3"/>
  <c r="B438" i="3"/>
  <c r="E437" i="3"/>
  <c r="B437" i="3"/>
  <c r="E436" i="3"/>
  <c r="B436" i="3"/>
  <c r="E435" i="3"/>
  <c r="B435" i="3"/>
  <c r="E434" i="3"/>
  <c r="B434" i="3"/>
  <c r="E433" i="3"/>
  <c r="B433" i="3"/>
  <c r="E432" i="3"/>
  <c r="B432" i="3"/>
  <c r="E431" i="3"/>
  <c r="B431" i="3"/>
  <c r="E430" i="3"/>
  <c r="B430" i="3"/>
  <c r="E429" i="3"/>
  <c r="B429" i="3"/>
  <c r="E428" i="3"/>
  <c r="B428" i="3"/>
  <c r="E427" i="3"/>
  <c r="B427" i="3"/>
  <c r="E426" i="3"/>
  <c r="B426" i="3"/>
  <c r="E425" i="3"/>
  <c r="B425" i="3"/>
  <c r="E424" i="3"/>
  <c r="B424" i="3"/>
  <c r="E423" i="3"/>
  <c r="B423" i="3"/>
  <c r="E422" i="3"/>
  <c r="B422" i="3"/>
  <c r="E421" i="3"/>
  <c r="B421" i="3"/>
  <c r="E420" i="3"/>
  <c r="B420" i="3"/>
  <c r="E419" i="3"/>
  <c r="B419" i="3"/>
  <c r="E418" i="3"/>
  <c r="B418" i="3"/>
  <c r="E417" i="3"/>
  <c r="B417" i="3"/>
  <c r="E416" i="3"/>
  <c r="B416" i="3"/>
  <c r="E415" i="3"/>
  <c r="B415" i="3"/>
  <c r="E414" i="3"/>
  <c r="B414" i="3"/>
  <c r="E413" i="3"/>
  <c r="B413" i="3"/>
  <c r="E412" i="3"/>
  <c r="B412" i="3"/>
  <c r="E411" i="3"/>
  <c r="B411" i="3"/>
  <c r="E410" i="3"/>
  <c r="B410" i="3"/>
  <c r="E409" i="3"/>
  <c r="B409" i="3"/>
  <c r="E408" i="3"/>
  <c r="B408" i="3"/>
  <c r="E407" i="3"/>
  <c r="B407" i="3"/>
  <c r="E406" i="3"/>
  <c r="B406" i="3"/>
  <c r="E405" i="3"/>
  <c r="B405" i="3"/>
  <c r="E404" i="3"/>
  <c r="B404" i="3"/>
  <c r="E403" i="3"/>
  <c r="B403" i="3"/>
  <c r="E402" i="3"/>
  <c r="B402" i="3"/>
  <c r="E401" i="3"/>
  <c r="B401" i="3"/>
  <c r="E400" i="3"/>
  <c r="B400" i="3"/>
  <c r="E399" i="3"/>
  <c r="B399" i="3"/>
  <c r="E398" i="3"/>
  <c r="B398" i="3"/>
  <c r="E397" i="3"/>
  <c r="B397" i="3"/>
  <c r="E396" i="3"/>
  <c r="B396" i="3"/>
  <c r="E395" i="3"/>
  <c r="B395" i="3"/>
  <c r="E394" i="3"/>
  <c r="B394" i="3"/>
  <c r="E393" i="3"/>
  <c r="B393" i="3"/>
  <c r="E392" i="3"/>
  <c r="B392" i="3"/>
  <c r="E391" i="3"/>
  <c r="B391" i="3"/>
  <c r="E390" i="3"/>
  <c r="B390" i="3"/>
  <c r="E389" i="3"/>
  <c r="B389" i="3"/>
  <c r="E388" i="3"/>
  <c r="B388" i="3"/>
  <c r="E387" i="3"/>
  <c r="B387" i="3"/>
  <c r="E386" i="3"/>
  <c r="B386" i="3"/>
  <c r="E385" i="3"/>
  <c r="B385" i="3"/>
  <c r="E384" i="3"/>
  <c r="B384" i="3"/>
  <c r="E383" i="3"/>
  <c r="B383" i="3"/>
  <c r="E382" i="3"/>
  <c r="B382" i="3"/>
  <c r="E381" i="3"/>
  <c r="B381" i="3"/>
  <c r="E380" i="3"/>
  <c r="B380" i="3"/>
  <c r="E379" i="3"/>
  <c r="B379" i="3"/>
  <c r="E378" i="3"/>
  <c r="B378" i="3"/>
  <c r="E377" i="3"/>
  <c r="B377" i="3"/>
  <c r="E376" i="3"/>
  <c r="B376" i="3"/>
  <c r="E375" i="3"/>
  <c r="B375" i="3"/>
  <c r="E374" i="3"/>
  <c r="B374" i="3"/>
  <c r="E373" i="3"/>
  <c r="B373" i="3"/>
  <c r="E372" i="3"/>
  <c r="B372" i="3"/>
  <c r="E371" i="3"/>
  <c r="B371" i="3"/>
  <c r="E370" i="3"/>
  <c r="B370" i="3"/>
  <c r="E369" i="3"/>
  <c r="B369" i="3"/>
  <c r="E368" i="3"/>
  <c r="B368" i="3"/>
  <c r="E367" i="3"/>
  <c r="B367" i="3"/>
  <c r="E366" i="3"/>
  <c r="B366" i="3"/>
  <c r="E365" i="3"/>
  <c r="B365" i="3"/>
  <c r="E364" i="3"/>
  <c r="B364" i="3"/>
  <c r="E363" i="3"/>
  <c r="B363" i="3"/>
  <c r="E362" i="3"/>
  <c r="B362" i="3"/>
  <c r="E361" i="3"/>
  <c r="B361" i="3"/>
  <c r="E360" i="3"/>
  <c r="B360" i="3"/>
  <c r="E359" i="3"/>
  <c r="B359" i="3"/>
  <c r="E358" i="3"/>
  <c r="B358" i="3"/>
  <c r="E357" i="3"/>
  <c r="B357" i="3"/>
  <c r="E356" i="3"/>
  <c r="B356" i="3"/>
  <c r="E355" i="3"/>
  <c r="B355" i="3"/>
  <c r="E354" i="3"/>
  <c r="B354" i="3"/>
  <c r="E353" i="3"/>
  <c r="B353" i="3"/>
  <c r="E352" i="3"/>
  <c r="B352" i="3"/>
  <c r="E351" i="3"/>
  <c r="B351" i="3"/>
  <c r="E350" i="3"/>
  <c r="B350" i="3"/>
  <c r="E349" i="3"/>
  <c r="B349" i="3"/>
  <c r="E348" i="3"/>
  <c r="B348" i="3"/>
  <c r="E347" i="3"/>
  <c r="B347" i="3"/>
  <c r="E346" i="3"/>
  <c r="B346" i="3"/>
  <c r="E345" i="3"/>
  <c r="B345" i="3"/>
  <c r="E344" i="3"/>
  <c r="B344" i="3"/>
  <c r="E343" i="3"/>
  <c r="B343" i="3"/>
  <c r="E342" i="3"/>
  <c r="B342" i="3"/>
  <c r="E341" i="3"/>
  <c r="B341" i="3"/>
  <c r="E340" i="3"/>
  <c r="B340" i="3"/>
  <c r="E339" i="3"/>
  <c r="B339" i="3"/>
  <c r="E338" i="3"/>
  <c r="B338" i="3"/>
  <c r="E337" i="3"/>
  <c r="B337" i="3"/>
  <c r="E336" i="3"/>
  <c r="B336" i="3"/>
  <c r="E335" i="3"/>
  <c r="B335" i="3"/>
  <c r="E334" i="3"/>
  <c r="B334" i="3"/>
  <c r="E333" i="3"/>
  <c r="B333" i="3"/>
  <c r="E332" i="3"/>
  <c r="B332" i="3"/>
  <c r="E331" i="3"/>
  <c r="B331" i="3"/>
  <c r="E330" i="3"/>
  <c r="B330" i="3"/>
  <c r="E329" i="3"/>
  <c r="B329" i="3"/>
  <c r="E328" i="3"/>
  <c r="B328" i="3"/>
  <c r="E327" i="3"/>
  <c r="B327" i="3"/>
  <c r="E326" i="3"/>
  <c r="B326" i="3"/>
  <c r="E325" i="3"/>
  <c r="B325" i="3"/>
  <c r="E324" i="3"/>
  <c r="B324" i="3"/>
  <c r="E323" i="3"/>
  <c r="B323" i="3"/>
  <c r="E322" i="3"/>
  <c r="B322" i="3"/>
  <c r="E321" i="3"/>
  <c r="B321" i="3"/>
  <c r="E320" i="3"/>
  <c r="B320" i="3"/>
  <c r="E319" i="3"/>
  <c r="B319" i="3"/>
  <c r="E318" i="3"/>
  <c r="B318" i="3"/>
  <c r="E317" i="3"/>
  <c r="B317" i="3"/>
  <c r="E316" i="3"/>
  <c r="B316" i="3"/>
  <c r="E315" i="3"/>
  <c r="B315" i="3"/>
  <c r="E314" i="3"/>
  <c r="B314" i="3"/>
  <c r="E313" i="3"/>
  <c r="B313" i="3"/>
  <c r="E312" i="3"/>
  <c r="B312" i="3"/>
  <c r="E311" i="3"/>
  <c r="B311" i="3"/>
  <c r="E310" i="3"/>
  <c r="B310" i="3"/>
  <c r="E309" i="3"/>
  <c r="B309" i="3"/>
  <c r="E308" i="3"/>
  <c r="B308" i="3"/>
  <c r="E307" i="3"/>
  <c r="B307" i="3"/>
  <c r="E306" i="3"/>
  <c r="B306" i="3"/>
  <c r="E305" i="3"/>
  <c r="B305" i="3"/>
  <c r="E304" i="3"/>
  <c r="B304" i="3"/>
  <c r="E303" i="3"/>
  <c r="B303" i="3"/>
  <c r="E302" i="3"/>
  <c r="B302" i="3"/>
  <c r="E301" i="3"/>
  <c r="B301" i="3"/>
  <c r="E300" i="3"/>
  <c r="B300" i="3"/>
  <c r="E299" i="3"/>
  <c r="B299" i="3"/>
  <c r="E298" i="3"/>
  <c r="B298" i="3"/>
  <c r="E297" i="3"/>
  <c r="B297" i="3"/>
  <c r="E296" i="3"/>
  <c r="B296" i="3"/>
  <c r="E295" i="3"/>
  <c r="B295" i="3"/>
  <c r="E294" i="3"/>
  <c r="B294" i="3"/>
  <c r="E293" i="3"/>
  <c r="B293" i="3"/>
  <c r="E292" i="3"/>
  <c r="B292" i="3"/>
  <c r="E291" i="3"/>
  <c r="B291" i="3"/>
  <c r="E290" i="3"/>
  <c r="B290" i="3"/>
  <c r="E289" i="3"/>
  <c r="B289" i="3"/>
  <c r="E288" i="3"/>
  <c r="B288" i="3"/>
  <c r="E287" i="3"/>
  <c r="B287" i="3"/>
  <c r="E286" i="3"/>
  <c r="B286" i="3"/>
  <c r="E285" i="3"/>
  <c r="B285" i="3"/>
  <c r="E284" i="3"/>
  <c r="B284" i="3"/>
  <c r="E283" i="3"/>
  <c r="B283" i="3"/>
  <c r="E282" i="3"/>
  <c r="B282" i="3"/>
  <c r="E281" i="3"/>
  <c r="B281" i="3"/>
  <c r="E280" i="3"/>
  <c r="B280" i="3"/>
  <c r="E279" i="3"/>
  <c r="B279" i="3"/>
  <c r="E278" i="3"/>
  <c r="B278" i="3"/>
  <c r="E277" i="3"/>
  <c r="B277" i="3"/>
  <c r="E276" i="3"/>
  <c r="B276" i="3"/>
  <c r="E275" i="3"/>
  <c r="B275" i="3"/>
  <c r="E274" i="3"/>
  <c r="B274" i="3"/>
  <c r="E273" i="3"/>
  <c r="B273" i="3"/>
  <c r="E272" i="3"/>
  <c r="B272" i="3"/>
  <c r="E271" i="3"/>
  <c r="B271" i="3"/>
  <c r="E270" i="3"/>
  <c r="B270" i="3"/>
  <c r="E269" i="3"/>
  <c r="B269" i="3"/>
  <c r="E268" i="3"/>
  <c r="B268" i="3"/>
  <c r="E267" i="3"/>
  <c r="B267" i="3"/>
  <c r="E266" i="3"/>
  <c r="B266" i="3"/>
  <c r="E265" i="3"/>
  <c r="B265" i="3"/>
  <c r="E264" i="3"/>
  <c r="B264" i="3"/>
  <c r="E263" i="3"/>
  <c r="B263" i="3"/>
  <c r="E262" i="3"/>
  <c r="B262" i="3"/>
  <c r="E261" i="3"/>
  <c r="B261" i="3"/>
  <c r="E260" i="3"/>
  <c r="B260" i="3"/>
  <c r="E259" i="3"/>
  <c r="B259" i="3"/>
  <c r="E258" i="3"/>
  <c r="B258" i="3"/>
  <c r="E257" i="3"/>
  <c r="B257" i="3"/>
  <c r="E256" i="3"/>
  <c r="B256" i="3"/>
  <c r="E255" i="3"/>
  <c r="B255" i="3"/>
  <c r="E254" i="3"/>
  <c r="B254" i="3"/>
  <c r="E253" i="3"/>
  <c r="B253" i="3"/>
  <c r="E252" i="3"/>
  <c r="B252" i="3"/>
  <c r="E251" i="3"/>
  <c r="B251" i="3"/>
  <c r="E250" i="3"/>
  <c r="B250" i="3"/>
  <c r="E249" i="3"/>
  <c r="B249" i="3"/>
  <c r="E248" i="3"/>
  <c r="B248" i="3"/>
  <c r="E247" i="3"/>
  <c r="B247" i="3"/>
  <c r="E246" i="3"/>
  <c r="B246" i="3"/>
  <c r="E245" i="3"/>
  <c r="B245" i="3"/>
  <c r="E244" i="3"/>
  <c r="B244" i="3"/>
  <c r="E243" i="3"/>
  <c r="B243" i="3"/>
  <c r="E242" i="3"/>
  <c r="B242" i="3"/>
  <c r="E241" i="3"/>
  <c r="B241" i="3"/>
  <c r="E240" i="3"/>
  <c r="B240" i="3"/>
  <c r="E239" i="3"/>
  <c r="B239" i="3"/>
  <c r="E238" i="3"/>
  <c r="B238" i="3"/>
  <c r="E237" i="3"/>
  <c r="B237" i="3"/>
  <c r="E236" i="3"/>
  <c r="B236" i="3"/>
  <c r="E235" i="3"/>
  <c r="B235" i="3"/>
  <c r="E234" i="3"/>
  <c r="B234" i="3"/>
  <c r="E233" i="3"/>
  <c r="B233" i="3"/>
  <c r="E232" i="3"/>
  <c r="B232" i="3"/>
  <c r="E231" i="3"/>
  <c r="B231" i="3"/>
  <c r="E230" i="3"/>
  <c r="B230" i="3"/>
  <c r="E229" i="3"/>
  <c r="B229" i="3"/>
  <c r="E228" i="3"/>
  <c r="B228" i="3"/>
  <c r="E227" i="3"/>
  <c r="B227" i="3"/>
  <c r="E226" i="3"/>
  <c r="B226" i="3"/>
  <c r="E225" i="3"/>
  <c r="B225" i="3"/>
  <c r="E224" i="3"/>
  <c r="B224" i="3"/>
  <c r="E223" i="3"/>
  <c r="B223" i="3"/>
  <c r="E222" i="3"/>
  <c r="B222" i="3"/>
  <c r="E221" i="3"/>
  <c r="B221" i="3"/>
  <c r="E220" i="3"/>
  <c r="B220" i="3"/>
  <c r="E219" i="3"/>
  <c r="B219" i="3"/>
  <c r="E218" i="3"/>
  <c r="B218" i="3"/>
  <c r="E217" i="3"/>
  <c r="B217" i="3"/>
  <c r="E216" i="3"/>
  <c r="B216" i="3"/>
  <c r="E215" i="3"/>
  <c r="B215" i="3"/>
  <c r="E214" i="3"/>
  <c r="B214" i="3"/>
  <c r="E213" i="3"/>
  <c r="B213" i="3"/>
  <c r="E212" i="3"/>
  <c r="B212" i="3"/>
  <c r="E211" i="3"/>
  <c r="B211" i="3"/>
  <c r="E210" i="3"/>
  <c r="B210" i="3"/>
  <c r="E209" i="3"/>
  <c r="B209" i="3"/>
  <c r="E208" i="3"/>
  <c r="B208" i="3"/>
  <c r="E207" i="3"/>
  <c r="B207" i="3"/>
  <c r="E206" i="3"/>
  <c r="B206" i="3"/>
  <c r="E205" i="3"/>
  <c r="B205" i="3"/>
  <c r="E204" i="3"/>
  <c r="B204" i="3"/>
  <c r="E203" i="3"/>
  <c r="B203" i="3"/>
  <c r="E202" i="3"/>
  <c r="B202" i="3"/>
  <c r="E201" i="3"/>
  <c r="B201" i="3"/>
  <c r="E200" i="3"/>
  <c r="B200" i="3"/>
  <c r="E199" i="3"/>
  <c r="B199" i="3"/>
  <c r="E198" i="3"/>
  <c r="B198" i="3"/>
  <c r="E197" i="3"/>
  <c r="B197" i="3"/>
  <c r="E196" i="3"/>
  <c r="B196" i="3"/>
  <c r="E195" i="3"/>
  <c r="B195" i="3"/>
  <c r="E194" i="3"/>
  <c r="B194" i="3"/>
  <c r="E193" i="3"/>
  <c r="B193" i="3"/>
  <c r="E192" i="3"/>
  <c r="B192" i="3"/>
  <c r="E191" i="3"/>
  <c r="B191" i="3"/>
  <c r="E190" i="3"/>
  <c r="B190" i="3"/>
  <c r="E189" i="3"/>
  <c r="B189" i="3"/>
  <c r="E188" i="3"/>
  <c r="B188" i="3"/>
  <c r="E187" i="3"/>
  <c r="B187" i="3"/>
  <c r="E186" i="3"/>
  <c r="B186" i="3"/>
  <c r="E185" i="3"/>
  <c r="B185" i="3"/>
  <c r="E184" i="3"/>
  <c r="B184" i="3"/>
  <c r="E183" i="3"/>
  <c r="B183" i="3"/>
  <c r="E182" i="3"/>
  <c r="B182" i="3"/>
  <c r="E181" i="3"/>
  <c r="B181" i="3"/>
  <c r="E180" i="3"/>
  <c r="B180" i="3"/>
  <c r="E179" i="3"/>
  <c r="B179" i="3"/>
  <c r="E178" i="3"/>
  <c r="B178" i="3"/>
  <c r="E177" i="3"/>
  <c r="B177" i="3"/>
  <c r="E176" i="3"/>
  <c r="B176" i="3"/>
  <c r="E175" i="3"/>
  <c r="B175" i="3"/>
  <c r="E174" i="3"/>
  <c r="B174" i="3"/>
  <c r="E173" i="3"/>
  <c r="B173" i="3"/>
  <c r="E172" i="3"/>
  <c r="B172" i="3"/>
  <c r="E171" i="3"/>
  <c r="B171" i="3"/>
  <c r="E170" i="3"/>
  <c r="B170" i="3"/>
  <c r="E169" i="3"/>
  <c r="B169" i="3"/>
  <c r="E168" i="3"/>
  <c r="B168" i="3"/>
  <c r="E167" i="3"/>
  <c r="B167" i="3"/>
  <c r="E166" i="3"/>
  <c r="B166" i="3"/>
  <c r="E165" i="3"/>
  <c r="B165" i="3"/>
  <c r="E164" i="3"/>
  <c r="B164" i="3"/>
  <c r="E163" i="3"/>
  <c r="B163" i="3"/>
  <c r="E162" i="3"/>
  <c r="B162" i="3"/>
  <c r="E161" i="3"/>
  <c r="B161" i="3"/>
  <c r="E160" i="3"/>
  <c r="B160" i="3"/>
  <c r="E159" i="3"/>
  <c r="B159" i="3"/>
  <c r="E158" i="3"/>
  <c r="B158" i="3"/>
  <c r="E157" i="3"/>
  <c r="B157" i="3"/>
  <c r="E156" i="3"/>
  <c r="B156" i="3"/>
  <c r="E155" i="3"/>
  <c r="B155" i="3"/>
  <c r="E154" i="3"/>
  <c r="B154" i="3"/>
  <c r="E153" i="3"/>
  <c r="B153" i="3"/>
  <c r="E152" i="3"/>
  <c r="B152" i="3"/>
  <c r="E151" i="3"/>
  <c r="B151" i="3"/>
  <c r="E150" i="3"/>
  <c r="B150" i="3"/>
  <c r="E149" i="3"/>
  <c r="B149" i="3"/>
  <c r="E148" i="3"/>
  <c r="B148" i="3"/>
  <c r="E147" i="3"/>
  <c r="B147" i="3"/>
  <c r="E146" i="3"/>
  <c r="B146" i="3"/>
  <c r="E145" i="3"/>
  <c r="B145" i="3"/>
  <c r="E144" i="3"/>
  <c r="B144" i="3"/>
  <c r="E143" i="3"/>
  <c r="B143" i="3"/>
  <c r="E142" i="3"/>
  <c r="B142" i="3"/>
  <c r="E141" i="3"/>
  <c r="B141" i="3"/>
  <c r="E140" i="3"/>
  <c r="B140" i="3"/>
  <c r="E139" i="3"/>
  <c r="B139" i="3"/>
  <c r="E138" i="3"/>
  <c r="B138" i="3"/>
  <c r="E137" i="3"/>
  <c r="B137" i="3"/>
  <c r="E136" i="3"/>
  <c r="B136" i="3"/>
  <c r="E135" i="3"/>
  <c r="B135" i="3"/>
  <c r="E134" i="3"/>
  <c r="B134" i="3"/>
  <c r="E133" i="3"/>
  <c r="B133" i="3"/>
  <c r="E132" i="3"/>
  <c r="B132" i="3"/>
  <c r="E131" i="3"/>
  <c r="B131" i="3"/>
  <c r="E130" i="3"/>
  <c r="B130" i="3"/>
  <c r="E129" i="3"/>
  <c r="B129" i="3"/>
  <c r="E128" i="3"/>
  <c r="B128" i="3"/>
  <c r="E127" i="3"/>
  <c r="B127" i="3"/>
  <c r="E126" i="3"/>
  <c r="B126" i="3"/>
  <c r="E125" i="3"/>
  <c r="B125" i="3"/>
  <c r="E124" i="3"/>
  <c r="B124" i="3"/>
  <c r="E123" i="3"/>
  <c r="B123" i="3"/>
  <c r="E122" i="3"/>
  <c r="B122" i="3"/>
  <c r="E121" i="3"/>
  <c r="B121" i="3"/>
  <c r="E120" i="3"/>
  <c r="B120" i="3"/>
  <c r="E119" i="3"/>
  <c r="B119" i="3"/>
  <c r="E118" i="3"/>
  <c r="B118" i="3"/>
  <c r="E117" i="3"/>
  <c r="B117" i="3"/>
  <c r="E116" i="3"/>
  <c r="B116" i="3"/>
  <c r="E115" i="3"/>
  <c r="B115" i="3"/>
  <c r="E114" i="3"/>
  <c r="B114" i="3"/>
  <c r="E113" i="3"/>
  <c r="B113" i="3"/>
  <c r="E112" i="3"/>
  <c r="B112" i="3"/>
  <c r="E111" i="3"/>
  <c r="B111" i="3"/>
  <c r="E110" i="3"/>
  <c r="B110" i="3"/>
  <c r="E109" i="3"/>
  <c r="B109" i="3"/>
  <c r="E108" i="3"/>
  <c r="B108" i="3"/>
  <c r="E107" i="3"/>
  <c r="B107" i="3"/>
  <c r="E106" i="3"/>
  <c r="B106" i="3"/>
  <c r="E105" i="3"/>
  <c r="B105" i="3"/>
  <c r="E104" i="3"/>
  <c r="B104" i="3"/>
  <c r="E103" i="3"/>
  <c r="B103" i="3"/>
  <c r="E102" i="3"/>
  <c r="B102" i="3"/>
  <c r="E101" i="3"/>
  <c r="B101" i="3"/>
  <c r="E100" i="3"/>
  <c r="B100" i="3"/>
  <c r="E99" i="3"/>
  <c r="B99" i="3"/>
  <c r="E98" i="3"/>
  <c r="B98" i="3"/>
  <c r="E97" i="3"/>
  <c r="B97" i="3"/>
  <c r="E96" i="3"/>
  <c r="B96" i="3"/>
  <c r="E95" i="3"/>
  <c r="B95" i="3"/>
  <c r="E94" i="3"/>
  <c r="B94" i="3"/>
  <c r="E93" i="3"/>
  <c r="B93" i="3"/>
  <c r="E92" i="3"/>
  <c r="B92" i="3"/>
  <c r="E91" i="3"/>
  <c r="B91" i="3"/>
  <c r="E90" i="3"/>
  <c r="B90" i="3"/>
  <c r="E89" i="3"/>
  <c r="B89" i="3"/>
  <c r="E88" i="3"/>
  <c r="B88" i="3"/>
  <c r="E87" i="3"/>
  <c r="B87" i="3"/>
  <c r="E86" i="3"/>
  <c r="B86" i="3"/>
  <c r="E85" i="3"/>
  <c r="B85" i="3"/>
  <c r="E84" i="3"/>
  <c r="B84" i="3"/>
  <c r="E83" i="3"/>
  <c r="B83" i="3"/>
  <c r="E82" i="3"/>
  <c r="B82" i="3"/>
  <c r="E81" i="3"/>
  <c r="B81" i="3"/>
  <c r="E80" i="3"/>
  <c r="B80" i="3"/>
  <c r="E79" i="3"/>
  <c r="B79" i="3"/>
  <c r="E78" i="3"/>
  <c r="B78" i="3"/>
  <c r="E77" i="3"/>
  <c r="B77" i="3"/>
  <c r="E76" i="3"/>
  <c r="B76" i="3"/>
  <c r="E75" i="3"/>
  <c r="B75" i="3"/>
  <c r="E74" i="3"/>
  <c r="B74" i="3"/>
  <c r="E73" i="3"/>
  <c r="B73" i="3"/>
  <c r="E72" i="3"/>
  <c r="B72" i="3"/>
  <c r="E71" i="3"/>
  <c r="B71" i="3"/>
  <c r="E70" i="3"/>
  <c r="B70" i="3"/>
  <c r="E69" i="3"/>
  <c r="B69" i="3"/>
  <c r="E68" i="3"/>
  <c r="B68"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E47" i="3"/>
  <c r="B47" i="3"/>
  <c r="E46" i="3"/>
  <c r="B46" i="3"/>
  <c r="E45" i="3"/>
  <c r="B45" i="3"/>
  <c r="E44" i="3"/>
  <c r="B44" i="3"/>
  <c r="E43" i="3"/>
  <c r="B43" i="3"/>
  <c r="E42" i="3"/>
  <c r="B42" i="3"/>
  <c r="E41" i="3"/>
  <c r="B41" i="3"/>
  <c r="E40" i="3"/>
  <c r="B40" i="3"/>
  <c r="E39" i="3"/>
  <c r="B39" i="3"/>
  <c r="E38" i="3"/>
  <c r="B38" i="3"/>
  <c r="E37" i="3"/>
  <c r="B37" i="3"/>
  <c r="E36" i="3"/>
  <c r="B36" i="3"/>
  <c r="E35" i="3"/>
  <c r="B35" i="3"/>
  <c r="E34" i="3"/>
  <c r="B34" i="3"/>
  <c r="E33" i="3"/>
  <c r="B33" i="3"/>
  <c r="E32" i="3"/>
  <c r="B32" i="3"/>
  <c r="E31" i="3"/>
  <c r="B31" i="3"/>
  <c r="E30" i="3"/>
  <c r="B30" i="3"/>
  <c r="E29" i="3"/>
  <c r="B29" i="3"/>
  <c r="E28" i="3"/>
  <c r="B28" i="3"/>
  <c r="E27" i="3"/>
  <c r="B27" i="3"/>
  <c r="E26" i="3"/>
  <c r="B26" i="3"/>
  <c r="E25" i="3"/>
  <c r="B25" i="3"/>
  <c r="E24" i="3"/>
  <c r="B24" i="3"/>
  <c r="E23" i="3"/>
  <c r="B23" i="3"/>
  <c r="E22" i="3"/>
  <c r="B22" i="3"/>
  <c r="E21" i="3"/>
  <c r="B21" i="3"/>
  <c r="E20" i="3"/>
  <c r="B20" i="3"/>
  <c r="E19" i="3"/>
  <c r="B19" i="3"/>
  <c r="E18" i="3"/>
  <c r="B18" i="3"/>
  <c r="E17" i="3"/>
  <c r="B17" i="3"/>
  <c r="E16" i="3"/>
  <c r="B16" i="3"/>
  <c r="E15" i="3"/>
  <c r="B15" i="3"/>
  <c r="E14" i="3"/>
  <c r="B14" i="3"/>
  <c r="E13" i="3"/>
  <c r="B13" i="3"/>
  <c r="E12" i="3"/>
  <c r="B12" i="3"/>
  <c r="E11" i="3"/>
  <c r="B11" i="3"/>
  <c r="E10" i="3"/>
  <c r="B10" i="3"/>
  <c r="E9" i="3"/>
  <c r="B9" i="3"/>
  <c r="E8" i="3"/>
  <c r="B8" i="3"/>
  <c r="E7" i="3"/>
  <c r="B7" i="3"/>
  <c r="E6" i="3"/>
  <c r="B6" i="3"/>
  <c r="E5" i="3"/>
  <c r="B5" i="3"/>
  <c r="E4" i="3"/>
  <c r="B4" i="3"/>
  <c r="I3" i="3" a="1"/>
  <c r="I3" i="3" s="1"/>
  <c r="E3" i="3"/>
  <c r="B3" i="3"/>
  <c r="I2" i="3" a="1"/>
  <c r="I2" i="3" s="1"/>
  <c r="E2" i="3"/>
  <c r="B2" i="3"/>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B200" i="2"/>
  <c r="E199" i="2"/>
  <c r="B199" i="2"/>
  <c r="E198" i="2"/>
  <c r="B198" i="2"/>
  <c r="E197" i="2"/>
  <c r="B197" i="2"/>
  <c r="E196" i="2"/>
  <c r="B196" i="2"/>
  <c r="E195" i="2"/>
  <c r="B195" i="2"/>
  <c r="E194" i="2"/>
  <c r="B194" i="2"/>
  <c r="E193" i="2"/>
  <c r="B193" i="2"/>
  <c r="E192" i="2"/>
  <c r="B192" i="2"/>
  <c r="E191" i="2"/>
  <c r="B191" i="2"/>
  <c r="E190" i="2"/>
  <c r="B190" i="2"/>
  <c r="E189" i="2"/>
  <c r="B189" i="2"/>
  <c r="E188" i="2"/>
  <c r="B188" i="2"/>
  <c r="E187" i="2"/>
  <c r="B187" i="2"/>
  <c r="E186" i="2"/>
  <c r="B186" i="2"/>
  <c r="E185" i="2"/>
  <c r="B185" i="2"/>
  <c r="E184" i="2"/>
  <c r="B184" i="2"/>
  <c r="E183" i="2"/>
  <c r="B183" i="2"/>
  <c r="E182" i="2"/>
  <c r="B182" i="2"/>
  <c r="E181" i="2"/>
  <c r="B181" i="2"/>
  <c r="E180" i="2"/>
  <c r="B180" i="2"/>
  <c r="E179" i="2"/>
  <c r="B179" i="2"/>
  <c r="E178" i="2"/>
  <c r="B178" i="2"/>
  <c r="E177" i="2"/>
  <c r="B177" i="2"/>
  <c r="E176" i="2"/>
  <c r="B176" i="2"/>
  <c r="E175" i="2"/>
  <c r="B175" i="2"/>
  <c r="E174" i="2"/>
  <c r="B174" i="2"/>
  <c r="E173" i="2"/>
  <c r="B173" i="2"/>
  <c r="E172" i="2"/>
  <c r="B172" i="2"/>
  <c r="E171" i="2"/>
  <c r="B171" i="2"/>
  <c r="E170" i="2"/>
  <c r="B170" i="2"/>
  <c r="E169" i="2"/>
  <c r="B169" i="2"/>
  <c r="E168" i="2"/>
  <c r="B168" i="2"/>
  <c r="E167" i="2"/>
  <c r="B167" i="2"/>
  <c r="E166" i="2"/>
  <c r="B166" i="2"/>
  <c r="E165" i="2"/>
  <c r="B165" i="2"/>
  <c r="E164" i="2"/>
  <c r="B164" i="2"/>
  <c r="E163" i="2"/>
  <c r="B163" i="2"/>
  <c r="E162" i="2"/>
  <c r="B162" i="2"/>
  <c r="E161" i="2"/>
  <c r="B161" i="2"/>
  <c r="E160" i="2"/>
  <c r="B160" i="2"/>
  <c r="E159" i="2"/>
  <c r="B159" i="2"/>
  <c r="E158" i="2"/>
  <c r="B158" i="2"/>
  <c r="E157" i="2"/>
  <c r="B157" i="2"/>
  <c r="E156" i="2"/>
  <c r="B156" i="2"/>
  <c r="E155" i="2"/>
  <c r="B155" i="2"/>
  <c r="E154" i="2"/>
  <c r="B154" i="2"/>
  <c r="E153" i="2"/>
  <c r="B153" i="2"/>
  <c r="E152" i="2"/>
  <c r="B152" i="2"/>
  <c r="E151" i="2"/>
  <c r="B151" i="2"/>
  <c r="E150" i="2"/>
  <c r="B150" i="2"/>
  <c r="E149" i="2"/>
  <c r="B149" i="2"/>
  <c r="E148" i="2"/>
  <c r="B148" i="2"/>
  <c r="E147" i="2"/>
  <c r="B147" i="2"/>
  <c r="E146" i="2"/>
  <c r="B146" i="2"/>
  <c r="E145" i="2"/>
  <c r="B145" i="2"/>
  <c r="E144" i="2"/>
  <c r="B144" i="2"/>
  <c r="E143" i="2"/>
  <c r="B143" i="2"/>
  <c r="E142" i="2"/>
  <c r="B142" i="2"/>
  <c r="E141" i="2"/>
  <c r="B141" i="2"/>
  <c r="E140" i="2"/>
  <c r="B140" i="2"/>
  <c r="E139" i="2"/>
  <c r="B139" i="2"/>
  <c r="E138" i="2"/>
  <c r="B138" i="2"/>
  <c r="E137" i="2"/>
  <c r="B137" i="2"/>
  <c r="E136" i="2"/>
  <c r="B136" i="2"/>
  <c r="E135" i="2"/>
  <c r="B135" i="2"/>
  <c r="E134" i="2"/>
  <c r="B134" i="2"/>
  <c r="E133" i="2"/>
  <c r="B133" i="2"/>
  <c r="E132" i="2"/>
  <c r="B132" i="2"/>
  <c r="E131" i="2"/>
  <c r="B131" i="2"/>
  <c r="E130" i="2"/>
  <c r="B130" i="2"/>
  <c r="E129" i="2"/>
  <c r="B129" i="2"/>
  <c r="E128" i="2"/>
  <c r="B128" i="2"/>
  <c r="E127" i="2"/>
  <c r="B127" i="2"/>
  <c r="E126" i="2"/>
  <c r="B126" i="2"/>
  <c r="E125" i="2"/>
  <c r="B125" i="2"/>
  <c r="E124" i="2"/>
  <c r="B124" i="2"/>
  <c r="E123" i="2"/>
  <c r="B123" i="2"/>
  <c r="E122" i="2"/>
  <c r="B122" i="2"/>
  <c r="E121" i="2"/>
  <c r="B121" i="2"/>
  <c r="E120" i="2"/>
  <c r="B120" i="2"/>
  <c r="E119" i="2"/>
  <c r="B119" i="2"/>
  <c r="E118" i="2"/>
  <c r="B118" i="2"/>
  <c r="E117" i="2"/>
  <c r="B117" i="2"/>
  <c r="E116" i="2"/>
  <c r="B116" i="2"/>
  <c r="E115" i="2"/>
  <c r="B115" i="2"/>
  <c r="E114" i="2"/>
  <c r="B114" i="2"/>
  <c r="E113" i="2"/>
  <c r="B113" i="2"/>
  <c r="E112" i="2"/>
  <c r="B112" i="2"/>
  <c r="E111" i="2"/>
  <c r="B111" i="2"/>
  <c r="E110" i="2"/>
  <c r="B110" i="2"/>
  <c r="E109" i="2"/>
  <c r="B109" i="2"/>
  <c r="E108" i="2"/>
  <c r="B108" i="2"/>
  <c r="E107" i="2"/>
  <c r="B107" i="2"/>
  <c r="E106" i="2"/>
  <c r="B106" i="2"/>
  <c r="E105" i="2"/>
  <c r="B105" i="2"/>
  <c r="E104" i="2"/>
  <c r="B104" i="2"/>
  <c r="E103" i="2"/>
  <c r="B103" i="2"/>
  <c r="E102" i="2"/>
  <c r="B102" i="2"/>
  <c r="E101" i="2"/>
  <c r="B101" i="2"/>
  <c r="E100" i="2"/>
  <c r="B100" i="2"/>
  <c r="E99" i="2"/>
  <c r="B99" i="2"/>
  <c r="E98" i="2"/>
  <c r="B98" i="2"/>
  <c r="E97" i="2"/>
  <c r="B97" i="2"/>
  <c r="E96" i="2"/>
  <c r="B96" i="2"/>
  <c r="E95" i="2"/>
  <c r="B95" i="2"/>
  <c r="E94" i="2"/>
  <c r="B94" i="2"/>
  <c r="E93" i="2"/>
  <c r="B93" i="2"/>
  <c r="E92" i="2"/>
  <c r="B92" i="2"/>
  <c r="E91" i="2"/>
  <c r="B91" i="2"/>
  <c r="E90" i="2"/>
  <c r="B90" i="2"/>
  <c r="E89" i="2"/>
  <c r="B89" i="2"/>
  <c r="E88" i="2"/>
  <c r="B88" i="2"/>
  <c r="E87" i="2"/>
  <c r="B87" i="2"/>
  <c r="E86" i="2"/>
  <c r="B86" i="2"/>
  <c r="E85" i="2"/>
  <c r="B85" i="2"/>
  <c r="E84" i="2"/>
  <c r="B84" i="2"/>
  <c r="E83" i="2"/>
  <c r="B83" i="2"/>
  <c r="E82" i="2"/>
  <c r="B82" i="2"/>
  <c r="E81" i="2"/>
  <c r="B81" i="2"/>
  <c r="E80" i="2"/>
  <c r="B80" i="2"/>
  <c r="E79" i="2"/>
  <c r="B79" i="2"/>
  <c r="E78" i="2"/>
  <c r="B78" i="2"/>
  <c r="E77" i="2"/>
  <c r="B77" i="2"/>
  <c r="E76" i="2"/>
  <c r="B76" i="2"/>
  <c r="E75" i="2"/>
  <c r="B75" i="2"/>
  <c r="E74" i="2"/>
  <c r="B74" i="2"/>
  <c r="E73" i="2"/>
  <c r="B73" i="2"/>
  <c r="E72" i="2"/>
  <c r="B72" i="2"/>
  <c r="E71" i="2"/>
  <c r="B71" i="2"/>
  <c r="E70" i="2"/>
  <c r="B70" i="2"/>
  <c r="E69" i="2"/>
  <c r="B69" i="2"/>
  <c r="E68" i="2"/>
  <c r="B68" i="2"/>
  <c r="E67" i="2"/>
  <c r="B67" i="2"/>
  <c r="E66" i="2"/>
  <c r="B66" i="2"/>
  <c r="E65" i="2"/>
  <c r="B65" i="2"/>
  <c r="E64" i="2"/>
  <c r="B64" i="2"/>
  <c r="E63" i="2"/>
  <c r="B63" i="2"/>
  <c r="E62" i="2"/>
  <c r="B62" i="2"/>
  <c r="E61" i="2"/>
  <c r="B61" i="2"/>
  <c r="E60" i="2"/>
  <c r="B60" i="2"/>
  <c r="E59" i="2"/>
  <c r="B59" i="2"/>
  <c r="E58" i="2"/>
  <c r="B58" i="2"/>
  <c r="E57" i="2"/>
  <c r="B57" i="2"/>
  <c r="E56" i="2"/>
  <c r="B56" i="2"/>
  <c r="E55" i="2"/>
  <c r="B55" i="2"/>
  <c r="E54" i="2"/>
  <c r="B54" i="2"/>
  <c r="E53" i="2"/>
  <c r="B53" i="2"/>
  <c r="E52" i="2"/>
  <c r="B52" i="2"/>
  <c r="E51" i="2"/>
  <c r="B51" i="2"/>
  <c r="E50" i="2"/>
  <c r="B50" i="2"/>
  <c r="E49" i="2"/>
  <c r="B49" i="2"/>
  <c r="E48" i="2"/>
  <c r="B48" i="2"/>
  <c r="E47" i="2"/>
  <c r="B47" i="2"/>
  <c r="E46" i="2"/>
  <c r="B46" i="2"/>
  <c r="E45" i="2"/>
  <c r="B45" i="2"/>
  <c r="E44" i="2"/>
  <c r="B44" i="2"/>
  <c r="E43" i="2"/>
  <c r="B43" i="2"/>
  <c r="E42" i="2"/>
  <c r="B42" i="2"/>
  <c r="E41" i="2"/>
  <c r="B41" i="2"/>
  <c r="E40" i="2"/>
  <c r="B40" i="2"/>
  <c r="E39" i="2"/>
  <c r="B39" i="2"/>
  <c r="E38" i="2"/>
  <c r="B38" i="2"/>
  <c r="E37" i="2"/>
  <c r="B37" i="2"/>
  <c r="E36" i="2"/>
  <c r="B36" i="2"/>
  <c r="E35" i="2"/>
  <c r="B35" i="2"/>
  <c r="E34" i="2"/>
  <c r="B34" i="2"/>
  <c r="E33" i="2"/>
  <c r="B33" i="2"/>
  <c r="E32" i="2"/>
  <c r="B32" i="2"/>
  <c r="E31" i="2"/>
  <c r="B31" i="2"/>
  <c r="E30" i="2"/>
  <c r="B30" i="2"/>
  <c r="E29" i="2"/>
  <c r="B29" i="2"/>
  <c r="E28" i="2"/>
  <c r="B28" i="2"/>
  <c r="E27" i="2"/>
  <c r="B27" i="2"/>
  <c r="E26" i="2"/>
  <c r="B26" i="2"/>
  <c r="E25" i="2"/>
  <c r="B25" i="2"/>
  <c r="E24" i="2"/>
  <c r="B24" i="2"/>
  <c r="E23" i="2"/>
  <c r="B23" i="2"/>
  <c r="E22" i="2"/>
  <c r="B22" i="2"/>
  <c r="E21" i="2"/>
  <c r="B21" i="2"/>
  <c r="E20" i="2"/>
  <c r="B20" i="2"/>
  <c r="E19" i="2"/>
  <c r="B19" i="2"/>
  <c r="E18" i="2"/>
  <c r="B18" i="2"/>
  <c r="E17" i="2"/>
  <c r="B17" i="2"/>
  <c r="E16" i="2"/>
  <c r="B16" i="2"/>
  <c r="E15" i="2"/>
  <c r="B15" i="2"/>
  <c r="E14" i="2"/>
  <c r="B14" i="2"/>
  <c r="E13" i="2"/>
  <c r="B13" i="2"/>
  <c r="E12" i="2"/>
  <c r="B12" i="2"/>
  <c r="E11" i="2"/>
  <c r="B11" i="2"/>
  <c r="E10" i="2"/>
  <c r="B10" i="2"/>
  <c r="E9" i="2"/>
  <c r="B9" i="2"/>
  <c r="E8" i="2"/>
  <c r="B8" i="2"/>
  <c r="E7" i="2"/>
  <c r="B7" i="2"/>
  <c r="E6" i="2"/>
  <c r="B6" i="2"/>
  <c r="E5" i="2"/>
  <c r="B5" i="2"/>
  <c r="E4" i="2"/>
  <c r="B4" i="2"/>
  <c r="I3" i="2" a="1"/>
  <c r="I3" i="2" s="1"/>
  <c r="E3" i="2"/>
  <c r="B3" i="2"/>
  <c r="I2" i="2" a="1"/>
  <c r="I2" i="2" s="1"/>
  <c r="E2" i="2"/>
  <c r="B2" i="2"/>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J3" i="1"/>
  <c r="J3" i="1" a="1"/>
  <c r="B3" i="1"/>
  <c r="J2" i="1" a="1"/>
  <c r="J2" i="1" s="1"/>
  <c r="B2" i="1"/>
  <c r="J5" i="1" l="1" a="1"/>
  <c r="J5" i="1" s="1"/>
  <c r="I5" i="3" a="1"/>
  <c r="I5" i="3" s="1"/>
  <c r="I5" i="2" a="1"/>
  <c r="I5" i="2" s="1"/>
  <c r="I4" i="3" a="1"/>
  <c r="I4" i="3" s="1"/>
  <c r="I4" i="2" a="1"/>
  <c r="I4" i="2" s="1"/>
  <c r="J4" i="1" a="1"/>
  <c r="J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<sst xmlns="http://schemas.openxmlformats.org/spreadsheetml/2006/main" count="4881" uniqueCount="3817">
  <si>
    <t>OpenAlex titles</t>
  </si>
  <si>
    <t>OpenAlex DOI</t>
  </si>
  <si>
    <t xml:space="preserve">OA citation count </t>
  </si>
  <si>
    <t xml:space="preserve">SciVal titles </t>
  </si>
  <si>
    <t>SciVal DOI</t>
  </si>
  <si>
    <t>SV citation count</t>
  </si>
  <si>
    <t>Total number of Publications</t>
  </si>
  <si>
    <t>Flood Detection and Susceptibility Mapping Using Sentinel-1 Remote Sensing Data and a Machine Learning Approach: Hybrid Intelligence of Bagging Ensemble Based on K-Nearest Neighbor Classifier</t>
  </si>
  <si>
    <t>Planck 2018 results: V. CMB power spectra and likelihoods</t>
  </si>
  <si>
    <t>10.1051/0004-6361/201936386</t>
  </si>
  <si>
    <t>OpenAlex</t>
  </si>
  <si>
    <t>SAPIEN: A SimulAted Part-Based Interactive ENvironment</t>
  </si>
  <si>
    <t>SuperYOLO: Super Resolution Assisted Object Detection in Multimodal Remote Sensing Imagery</t>
  </si>
  <si>
    <t>10.1109/TGRS.2023.3258666</t>
  </si>
  <si>
    <t>SciVal</t>
  </si>
  <si>
    <t>Changes in Annual Extremes of Daily Temperature and Precipitation in CMIP6 Models</t>
  </si>
  <si>
    <t>Sapien: A simulated part-based interactive ENvironment</t>
  </si>
  <si>
    <t>10.1109/CVPR42600.2020.01111</t>
  </si>
  <si>
    <t xml:space="preserve">OA in SV % </t>
  </si>
  <si>
    <t>A processâ€based metacommunity framework linking local and regional scale community ecology</t>
  </si>
  <si>
    <t>Habitat 2.0: Training Home Assistants to Rearrange their Habitat</t>
  </si>
  <si>
    <t xml:space="preserve">SV in OA % </t>
  </si>
  <si>
    <t>Flood detection and susceptibility mapping using Sentinel-1 remote sensing data and a machine learning approach: Hybrid intelligence of bagging ensemble based on K-Nearest Neighbor classifier</t>
  </si>
  <si>
    <t>10.3390/rs12020266</t>
  </si>
  <si>
    <t>Task Co-Offloading for D2D-Assisted Mobile Edge Computing in Industrial Internet of Things</t>
  </si>
  <si>
    <t>10.1109/TII.2022.3158974</t>
  </si>
  <si>
    <t>Is there warming in the pipeline? A multi-model analysis of the Zero Emissions Commitment from CO &lt;sub&gt;2&lt;/sub&gt;</t>
  </si>
  <si>
    <t>A process-based metacommunity framework linking local and regional scale community ecology</t>
  </si>
  <si>
    <t>10.1111/ele.13568</t>
  </si>
  <si>
    <t>Quantum critical dynamics in a 5,000-qubit programmable spin glass</t>
  </si>
  <si>
    <t>Jet energy scale and resolution measured in proton–proton collisions at √s=13 TeV with the ATLAS detector</t>
  </si>
  <si>
    <t>10.1140/epjc/s10052-021-09402-3</t>
  </si>
  <si>
    <t>Coherent quantum annealing in a programmable 2,000â€‰qubit Ising chain</t>
  </si>
  <si>
    <t>Performance of the ATLAS muon triggers in Run 2</t>
  </si>
  <si>
    <t>10.1088/1748-0221/15/09/P09015</t>
  </si>
  <si>
    <t>Sim2Real Predictivity: Does Evaluation in Simulation Predict Real-World Performance?</t>
  </si>
  <si>
    <t>10.1038/s41586-023-05867-2</t>
  </si>
  <si>
    <t>Landslide Susceptibility Mapping Using Machine Learning Algorithms and Remote Sensing Data in a Tropical Environment</t>
  </si>
  <si>
    <t>10.1109/LRA.2020.3013848</t>
  </si>
  <si>
    <t>Shifting attributions for poverty motivates opposition to inequality and enhances egalitarianism</t>
  </si>
  <si>
    <t>Coherent quantum annealing in a programmable 2,000 qubit Ising chain</t>
  </si>
  <si>
    <t>10.1038/s41567-022-01741-6</t>
  </si>
  <si>
    <t>Face masks, public policies and slowing the spread of COVID-19: Evidence from Canada</t>
  </si>
  <si>
    <t>Planck 2018 results: IV. Diffuse component separation</t>
  </si>
  <si>
    <t>10.1051/0004-6361/201833881</t>
  </si>
  <si>
    <t>COVID-19 vaccination mandates and vaccine uptake</t>
  </si>
  <si>
    <t>Is there warming in the pipeline? A multi-model analysis of the Zero Emissions Commitment from CO2</t>
  </si>
  <si>
    <t>10.5194/bg-17-2987-2020</t>
  </si>
  <si>
    <t>Toward a Reliable Synaptic Simulation Using Al-Doped HfO&lt;sub&gt;2&lt;/sub&gt; RRAM</t>
  </si>
  <si>
    <t>Planck intermediate results: LVII. Joint Planck LFI and HFI data processing</t>
  </si>
  <si>
    <t>10.1051/0004-6361/202038073</t>
  </si>
  <si>
    <t>Five decades of radioglaciology</t>
  </si>
  <si>
    <t>Landslide susceptibility mapping using machine learning algorithms and remote sensing data in a tropical environment</t>
  </si>
  <si>
    <t>10.3390/ijerph17144933</t>
  </si>
  <si>
    <t>Change Detection in Remote Sensing Image Data Comparing Algebraic and Machine Learning Methods</t>
  </si>
  <si>
    <t>Toward a Reliable Synaptic Simulation Using Al-Doped HfO2 RRAM</t>
  </si>
  <si>
    <t>10.1021/acsami.9b21530</t>
  </si>
  <si>
    <t>Phase transition enhanced superior elasticity in freestanding single-crystalline multiferroic BiFeO &lt;sub&gt;3&lt;/sub&gt; membranes</t>
  </si>
  <si>
    <t>Dijet Resonance Search with Weak Supervision Using s =13 TeV pp Collisions in the ATLAS Detector</t>
  </si>
  <si>
    <t>10.1103/PhysRevLett.125.131801</t>
  </si>
  <si>
    <t>A Novel Multiple-Medium-AC-Port Power Electronic Transformer</t>
  </si>
  <si>
    <t>10.1038/s41562-020-0835-8</t>
  </si>
  <si>
    <t>Seriesâ€“Shunt Multiport Soft Normally Open Points</t>
  </si>
  <si>
    <t>Guidelines and evaluation of clinical explainable AI in medical image analysis</t>
  </si>
  <si>
    <t>10.1016/j.media.2022.102684</t>
  </si>
  <si>
    <t>Distributed Heuristic Multi-Agent Path Finding with Communication</t>
  </si>
  <si>
    <t>10.3390/electronics11030431</t>
  </si>
  <si>
    <t>A social network model of COVID-19</t>
  </si>
  <si>
    <t>Metagenome-assembled genome binning methods with short reads disproportionately fail for plasmids and genomic islands</t>
  </si>
  <si>
    <t>10.1099/mgen.0.000436</t>
  </si>
  <si>
    <t>Human influence on the 2021 British Columbia floods</t>
  </si>
  <si>
    <t>10.1109/ICRA48506.2021.9560748</t>
  </si>
  <si>
    <t>Reinforcement learning for versatile, dynamic, and robust bipedal locomotion control</t>
  </si>
  <si>
    <t>Scaling advantage over path-integral Monte Carlo in quantum simulation of geometrically frustrated magnets</t>
  </si>
  <si>
    <t>10.1038/s41467-021-20901-5</t>
  </si>
  <si>
    <t>Local Window Attention Transformer for Polarimetric SAR Image Classification</t>
  </si>
  <si>
    <t>Planck 2018 results: XI. Polarized dust foregrounds</t>
  </si>
  <si>
    <t>10.1051/0004-6361/201832618</t>
  </si>
  <si>
    <t>IT value creation in public sector: how IT-enabled capabilities mitigate tradeoffs in public organisations</t>
  </si>
  <si>
    <t>Periodic Wrinkle-Patterned Single-Crystalline Ferroelectric Oxide Membranes with Enhanced Piezoelectricity</t>
  </si>
  <si>
    <t>10.1002/adma.202004477</t>
  </si>
  <si>
    <t>Artificial intelligence in marketing: A bibliographic perspective</t>
  </si>
  <si>
    <t>10.1017/aog.2020.11</t>
  </si>
  <si>
    <t>Characterizing snow instability with avalanche problem types derived from snow cover simulations</t>
  </si>
  <si>
    <t>10.1038/s41562-022-01363-1</t>
  </si>
  <si>
    <t>Evaluation of the University of Victoria Earth System Climate Model version 2.10 (UVic ESCM 2.10)</t>
  </si>
  <si>
    <t>Series-Shunt Multiport Soft Normally Open Points</t>
  </si>
  <si>
    <t>10.1109/TIE.2022.3229375</t>
  </si>
  <si>
    <t>Materials design and fundamental understanding of tellurium-based electrochemistry for rechargeable batteries</t>
  </si>
  <si>
    <t>Planck 2018 results: XII. Galactic astrophysics using polarized dust emission</t>
  </si>
  <si>
    <t>10.1051/0004-6361/201833885</t>
  </si>
  <si>
    <t>From spectra to plant functional traits: Transferable multi-trait models from heterogeneous and sparse data</t>
  </si>
  <si>
    <t>Planck 2018 results: III. High frequency instrument data processing and frequency maps</t>
  </si>
  <si>
    <t>10.1051/0004-6361/201832909</t>
  </si>
  <si>
    <t>Cross Hyperspectral and LiDAR Attention Transformer: An Extended Self-Attention for Land Use and Land Cover Classification</t>
  </si>
  <si>
    <t>10.1109/TIE.2023.3301550</t>
  </si>
  <si>
    <t>A food web bioaccumulation model for the accumulation of per- and polyfluoroalkyl substances (PFAS) in fish: how important is renal elimination?</t>
  </si>
  <si>
    <t>Model-based evaluation of greenhouse microclimate using IoT-Sensor data fusion for energy efficient crop production</t>
  </si>
  <si>
    <t>10.1016/j.jclepro.2020.121303</t>
  </si>
  <si>
    <t>Rapid Warming in Summer Wet Bulb Globe Temperature in China with Human-Induced Climate Change</t>
  </si>
  <si>
    <t>Observation of an Excess of Dicharmonium Events in the Four-Muon Final State with the ATLAS Detector</t>
  </si>
  <si>
    <t>10.1103/PhysRevLett.131.151902</t>
  </si>
  <si>
    <t>CO2â€‘based alternative fuel production to support development of CO2 capture, utilization and storage</t>
  </si>
  <si>
    <t>10.1016/j.jhealeco.2021.102475</t>
  </si>
  <si>
    <t>Cloud and Cloud Shadow Segmentation for Remote Sensing Imagery Via Filtered Jaccard Loss Function and Parametric Augmentation</t>
  </si>
  <si>
    <t>Phase transition enhanced superior elasticity in freestanding single-crystalline multiferroic BiFeO3membranes</t>
  </si>
  <si>
    <t>10.1126/sciadv.aba5847</t>
  </si>
  <si>
    <t>Design and Control of Power Fluctuation Delivery for Cell Capacitance Optimization in Multiport Modular Solid-State Transformers</t>
  </si>
  <si>
    <t>Measurement of the c-jet mistagging efficiency in tt¯ events using pp collision data at √s=13 TeV collected with the ATLAS detector</t>
  </si>
  <si>
    <t>10.1140/epjc/s10052-021-09843-w</t>
  </si>
  <si>
    <t>Performance analysis of several electron/hole transport layers in thin film MAPbI3-based perovskite solar cells: A simulation study</t>
  </si>
  <si>
    <t>Federated Learning for Microvasculature Segmentation and Diabetic Retinopathy Classification of OCT Data</t>
  </si>
  <si>
    <t>10.1016/j.xops.2021.100069</t>
  </si>
  <si>
    <t>Wearable Device to Monitor Back Movements Using an Inductive Textile Sensor</t>
  </si>
  <si>
    <t>10.1109/LGRS.2023.3239263</t>
  </si>
  <si>
    <t>Cannabidiol inhibits the skeletal muscle Nav1.4 by blocking its pore and by altering membrane elasticity</t>
  </si>
  <si>
    <t>10.1080/0960085X.2019.1708821</t>
  </si>
  <si>
    <t>Galaxy mergers can rapidly shut down star formation</t>
  </si>
  <si>
    <t>10.1371/journal.pone.0240878</t>
  </si>
  <si>
    <t>A further source of Tokyo earthquakes and Pacific Ocean tsunamis</t>
  </si>
  <si>
    <t>AtlFast3: The Next Generation of Fast Simulation in ATLAS</t>
  </si>
  <si>
    <t>10.1007/s41781-021-00079-7</t>
  </si>
  <si>
    <t>Multi-Class Pixel Certainty Active Learning Model for Classification of Land Cover Classes Using Hyperspectral Imagery</t>
  </si>
  <si>
    <t>10.1109/TGRS.2024.3374324</t>
  </si>
  <si>
    <t>Residual wave vision U-Net for flood mapping using dual polarization Sentinel-1 SAR imagery</t>
  </si>
  <si>
    <t>Measurement of soft-drop jet observables in pp collisions with the ATLAS detector at s =13 TeV</t>
  </si>
  <si>
    <t>10.1103/PhysRevD.101.052007</t>
  </si>
  <si>
    <t>Cobaltâ€“manganese-zinc ternary phosphate for high performance supercapattery devices</t>
  </si>
  <si>
    <t>10.1109/TPEL.2020.3006956</t>
  </si>
  <si>
    <t>Ongoing AMOC and related sea-level and temperature changes after achieving the Paris targets</t>
  </si>
  <si>
    <t>Calibration of the light-flavour jet mistagging efficiency of the b-tagging algorithms with Z+jets events using 139 fb - 1 of ATLAS proton–proton collision data at √s=13 TeV</t>
  </si>
  <si>
    <t>10.1140/epjc/s10052-023-11736-z</t>
  </si>
  <si>
    <t>Domain Randomization-Enhanced Depth Simulation andÂ Restoration forÂ Perceiving andÂ Grasping Specular andÂ Transparent Objects</t>
  </si>
  <si>
    <t>Forest vulnerability to drought controlled by bedrock composition</t>
  </si>
  <si>
    <t>10.1038/s41561-022-01012-2</t>
  </si>
  <si>
    <t>New Frontiers in 3D Structural Sensing Robots</t>
  </si>
  <si>
    <t>On human-in-the-loop optimization of human–robot interaction</t>
  </si>
  <si>
    <t>10.1038/s41586-024-07697-2</t>
  </si>
  <si>
    <t>Mission planning problem for optical video satellite imaging with variable image duration: A greedy algorithm based on heuristic knowledge</t>
  </si>
  <si>
    <t>CORPORATE DIPLOMACY IN THE AGE OF U.S.-CHINA RIVALRY</t>
  </si>
  <si>
    <t>10.5465/amp.2021.0076</t>
  </si>
  <si>
    <t>QBO Changes in CMIP6 Climate Projections</t>
  </si>
  <si>
    <t>High-fidelity spin qubit operation and algorithmic initialization above 1 K</t>
  </si>
  <si>
    <t>10.1038/s41586-024-07160-2</t>
  </si>
  <si>
    <t>Non-CO2 forcing changes will likely decrease the remaining carbon budget for 1.5â€‰Â°C</t>
  </si>
  <si>
    <t>10.1039/d2em00047d</t>
  </si>
  <si>
    <t>COVID-19 endgame: From pandemic to endemic? Vaccination, reopening and evolution in low- and high-vaccinated populations</t>
  </si>
  <si>
    <t>10.1016/j.ausmj.2020.07.006</t>
  </si>
  <si>
    <t>Comparing Non-Visual and Visual Guidance Methods for Narrow Field of View Augmented Reality Displays</t>
  </si>
  <si>
    <t>10.1016/j.jag.2024.103662</t>
  </si>
  <si>
    <t>Robust and Versatile Bipedal Jumping Control through Reinforcement Learning</t>
  </si>
  <si>
    <t>10.1093/mnrasl/slac109</t>
  </si>
  <si>
    <t>Application of Unmanned Aerial Vehicle Data and Discrete Fracture Network Models for Improved Rockfall Simulations</t>
  </si>
  <si>
    <t>The 28 November 2020 Landslide, Tsunami, and Outburst Flood – A Hazard Cascade Associated With Rapid Deglaciation at Elliot Creek, British Columbia, Canada</t>
  </si>
  <si>
    <t>10.1029/2021GL096716</t>
  </si>
  <si>
    <t>Identification of binding sites for ivacaftor on the cystic fibrosis transmembrane conductance regulator</t>
  </si>
  <si>
    <t>Cobalt-manganese-zinc ternary phosphate for high performance supercapattery devices</t>
  </si>
  <si>
    <t>10.1039/d0dt03313h</t>
  </si>
  <si>
    <t>Evaluation of atmospheric correction methods for low to high resolutions satellite remote sensing data</t>
  </si>
  <si>
    <t>10.1016/j.optmat.2021.111258</t>
  </si>
  <si>
    <t>Laser-Induced Graphene for Advanced Sensing: Comprehensive Review of Applications</t>
  </si>
  <si>
    <t>Evaluating Explainable AI on a Multi-Modal Medical Imaging Task: Can Existing Algorithms Fulfill Clinical Requirements?</t>
  </si>
  <si>
    <t>10.1609/aaai.v36i11.21452</t>
  </si>
  <si>
    <t>TransU-Net++: Rethinking attention gated TransU-Net for deforestation mapping</t>
  </si>
  <si>
    <t>Two-particle azimuthal correlations in photonuclear ultraperipheral Pb+Pb collisions at 5.02 TeV with ATLAS</t>
  </si>
  <si>
    <t>10.1103/PhysRevC.104.014903</t>
  </si>
  <si>
    <t>A Novel Stacked Long Short-Term Memory Approach of Deep Learning for Streamflow Simulation</t>
  </si>
  <si>
    <t>10.1002/adma.202002534</t>
  </si>
  <si>
    <t>Ferroelectric phase-transition frustration near a tricritical composition point</t>
  </si>
  <si>
    <t>Deep Neural Network for Resource Management in NOMA Networks</t>
  </si>
  <si>
    <t>10.1109/TVT.2019.2951822</t>
  </si>
  <si>
    <t>The Energy of Muscle Contraction. I. Tissue Force and Deformation During Fixed-End Contractions</t>
  </si>
  <si>
    <t>A community effort to create standards for evaluating tumor subclonal reconstruction</t>
  </si>
  <si>
    <t>10.1038/s41587-019-0364-z</t>
  </si>
  <si>
    <t>Discovering diverse athletic jumping strategies</t>
  </si>
  <si>
    <t>10.3390/electronics11172799</t>
  </si>
  <si>
    <t>Towards a theoretical framework of autonomous systems underpinned by intelligence and systems sciences</t>
  </si>
  <si>
    <t>Do FeCl3 and FeCl3/CaO conditioners change pyrolysis and incineration performances, emissions, and elemental fates of textile dyeing sludge?</t>
  </si>
  <si>
    <t>10.1016/j.jhazmat.2021.125334</t>
  </si>
  <si>
    <t>3D printed leech-inspired origami dry electrodes for electrophysiology sensing robots</t>
  </si>
  <si>
    <t>10.1016/j.asr.2020.09.002</t>
  </si>
  <si>
    <t>Characterizing fracture stress of defective graphene samples using shallow and deep artificial neural networks</t>
  </si>
  <si>
    <t>10.1016/j.rse.2023.113580</t>
  </si>
  <si>
    <t>Consistency of Planck, ACT, and SPT constraints on magnetically assisted recombination and forecasts for future experiments</t>
  </si>
  <si>
    <t>10.1109/JSTARS.2021.3070786</t>
  </si>
  <si>
    <t>A review of the efforts to develop muscle and musculoskeletal models for biomechanics in the last 50Â years</t>
  </si>
  <si>
    <t>Performance of the missing transverse momentum triggers for the ATLAS detector during Run-2 data taking</t>
  </si>
  <si>
    <t>10.1007/JHEP08(2020)080</t>
  </si>
  <si>
    <t>Reconnecting &lt;i&gt;p&lt;/i&gt; -Value and Posterior Probability Under One- and Two-Sided Tests</t>
  </si>
  <si>
    <t>Ending the HIV epidemic in the USA: an economic modelling study in six cities</t>
  </si>
  <si>
    <t>10.1016/S2352-3018(20)30033-3</t>
  </si>
  <si>
    <t>OCRTOC: A Cloud-Based Competition and Benchmark for Robotic Grasping and Manipulation</t>
  </si>
  <si>
    <t>Domain Randomization-Enhanced Depth Simulation and Restoration for Perceiving and Grasping Specular and Transparent Objects</t>
  </si>
  <si>
    <t>10.1007/978-3-031-19842-7_22</t>
  </si>
  <si>
    <t>WetMapFormer: A unified deep CNN and vision transformer for complex wetland mapping</t>
  </si>
  <si>
    <t>10.1016/j.jag.2023.103333</t>
  </si>
  <si>
    <t>The Miraâ€“Titan Universe â€“ IV. High-precision power spectrum emulation</t>
  </si>
  <si>
    <t>10.1016/j.atmosres.2020.105308</t>
  </si>
  <si>
    <t>Mitigation of mechanical membrane degradation in fuel cells â€“ Part 1: Gas diffusion layers with low surface roughness</t>
  </si>
  <si>
    <t>Demonstration of a Nonstoquastic Hamiltonian in Coupled Superconducting Flux Qubits</t>
  </si>
  <si>
    <t>10.1103/PhysRevApplied.13.034037</t>
  </si>
  <si>
    <t>Interacting galaxies in the IllustrisTNG simulations â€“ III. (The rarity of) quenching in post-merger galaxies</t>
  </si>
  <si>
    <t>Accounting for the climate benefit of temporary carbon storage in nature</t>
  </si>
  <si>
    <t>10.1038/s41467-023-41242-5</t>
  </si>
  <si>
    <t>A Series-Type Hybrid Circuit Breaker Concept for Ultrafast DC Fault Protection</t>
  </si>
  <si>
    <t>Wearable device to monitor back movements using an inductive textile sensor</t>
  </si>
  <si>
    <t>10.3390/s20030905</t>
  </si>
  <si>
    <t>TBRA</t>
  </si>
  <si>
    <t>10.1016/j.jag.2023.103332</t>
  </si>
  <si>
    <t>Mobile Streaming of Live 360-Degree Videos</t>
  </si>
  <si>
    <t>A novel stacked long short-term memory approach of deep learning for streamflow simulation</t>
  </si>
  <si>
    <t>10.3390/su132313384</t>
  </si>
  <si>
    <t>SACHA: Soft Actor-Critic With Heuristic-Based Attention for Partially Observable Multi-Agent Path Finding</t>
  </si>
  <si>
    <t>10.1145/3450626.3459817</t>
  </si>
  <si>
    <t>Outage Analysis of NOMA-Enabled Backscatter Communications With Intelligent Reflecting Surfaces</t>
  </si>
  <si>
    <t>Cannabidiol inhibits the skeletal muscle nav1.4 by blocking its pore and by altering membrane elasticity</t>
  </si>
  <si>
    <t>10.1085/jgp.202012701</t>
  </si>
  <si>
    <t>Control of a Hybrid Modular Solid-State Transformer for Uninterrupted Power Supply Under MVdc Short-Circuit Fault</t>
  </si>
  <si>
    <t>10.1038/s41467-021-25543-1</t>
  </si>
  <si>
    <t>Dynamic simulation and life cycle greenhouse gas impact assessment of CNG, LNG, and diesel-powered transit buses in British Columbia, Canada</t>
  </si>
  <si>
    <t>TBRA: Tiling and Bitrate Adaptation for Mobile 360-Degree Video Streaming</t>
  </si>
  <si>
    <t>10.1145/3474085.3475590</t>
  </si>
  <si>
    <t>Prediction of rail surface damage in locomotive traction operations using laboratory-field measured and calibrated data</t>
  </si>
  <si>
    <t>10.5194/gmd-13-4183-2020</t>
  </si>
  <si>
    <t>Stabilizing Frame Slotted Aloha-Based IoT Systems: A Geometric Ergodicity Perspective</t>
  </si>
  <si>
    <t>Application of unmanned aerial vehicle data and discrete fracture network models for improved rockfall simulations</t>
  </si>
  <si>
    <t>10.3390/RS12122053</t>
  </si>
  <si>
    <t>Signatures of discrete time crystalline order in dissipative spin ensembles</t>
  </si>
  <si>
    <t>Fast and accurate detection of unknown tags for rfid systems-hash collisions are desirable</t>
  </si>
  <si>
    <t>10.1109/TNET.2019.2957239</t>
  </si>
  <si>
    <t>Graph-Based Multi-Robot Path Finding and Planning</t>
  </si>
  <si>
    <t>10.1021/acssensors.4c01717</t>
  </si>
  <si>
    <t>Climate Model Projections for Canada: A Comparison of CMIP5 and CMIP6</t>
  </si>
  <si>
    <t>10.1016/j.jtbi.2022.111368</t>
  </si>
  <si>
    <t>Negative frequency-dependent selection and asymmetrical transformation stabilise multi-strain bacterial population structures</t>
  </si>
  <si>
    <t>10.1016/j.isci.2021.102542</t>
  </si>
  <si>
    <t>A Novel Multiport Transformer-Less Unified Power Flow Controller</t>
  </si>
  <si>
    <t>10.1109/TMM.2020.2973855</t>
  </si>
  <si>
    <t>Mitigation of mechanical membrane degradation in fuel cells â€“ Part 2: Bonded membrane electrode assembly</t>
  </si>
  <si>
    <t>10.1109/JIOT.2022.3150418</t>
  </si>
  <si>
    <t>Stochastic Modeling and Analysis of Public Electric Vehicle Fleet Charging Station Operations</t>
  </si>
  <si>
    <t>Reconnecting p-Value and Posterior Probability Under One- and Two-Sided Tests</t>
  </si>
  <si>
    <t>10.1080/00031305.2020.1717621</t>
  </si>
  <si>
    <t>Investigating the interaction of hydraulic fracture with pre-existing joints based on lattice spring modeling</t>
  </si>
  <si>
    <t>Algorithm/Hardware Codesign for Real-Time On-Satellite CNN-Based Ship Detection in SAR Imagery</t>
  </si>
  <si>
    <t>10.1109/TGRS.2022.3161499</t>
  </si>
  <si>
    <t>Energy and information flows in autonomous systems</t>
  </si>
  <si>
    <t>Multi-Fidelity Modeling and Adaptive Co-Kriging-Based Optimization for All-Electric Geostationary Orbit Satellite Systems</t>
  </si>
  <si>
    <t>10.1115/1.4044321</t>
  </si>
  <si>
    <t>Improving the Hosmer-Lemeshow goodness-of-fit test in large models with replicated Bernoulli trials</t>
  </si>
  <si>
    <t>COPHY: COUNTERFACTUAL LEARNING OF PHYSICAL DYNAMICS</t>
  </si>
  <si>
    <t>On the philosophical, cognitive and mathematical foundations of symbiotic autonomous systems</t>
  </si>
  <si>
    <t>Multi-Seed Group Labeling in RFID Systems</t>
  </si>
  <si>
    <t>10.1109/TMC.2019.2934445</t>
  </si>
  <si>
    <t>Quantum Annealing Simulation of Out-of-Equilibrium Magnetization in a Spin-Chain Compound</t>
  </si>
  <si>
    <t>10.1038/s41528-022-00139-x</t>
  </si>
  <si>
    <t>Uncertainty Estimation for Deep Learning-Based Segmentation of Roads in Synthetic Aperture Radar Imagery</t>
  </si>
  <si>
    <t>10.1016/j.engfailanal.2022.106165</t>
  </si>
  <si>
    <t>Causal artificial neural network and its applications in engineering design</t>
  </si>
  <si>
    <t>Mitigation of mechanical membrane degradation in fuel cells – Part 1: Gas diffusion layers with low surface roughness</t>
  </si>
  <si>
    <t>10.1016/j.jpowsour.2021.230446</t>
  </si>
  <si>
    <t>Prediction-Based Reachability for Collision Avoidance in Autonomous Driving</t>
  </si>
  <si>
    <t>Interacting galaxies in the IllustrisTNG simulations - III. (The rarity of) quenching in post-merger galaxies</t>
  </si>
  <si>
    <t>10.1093/mnras/stab988</t>
  </si>
  <si>
    <t>Design, simulation, and validation of additively manufactured high-temperature combustion chambers for micro gas turbines</t>
  </si>
  <si>
    <t>Matthews correlation coefficient loss for deep convolutional networks: Application to skin lesion segmentation</t>
  </si>
  <si>
    <t>10.1109/ISBI48211.2021.9433782</t>
  </si>
  <si>
    <t>An Evaluation of Block-Maximum-Based Estimation of Very Long Return Period Precipitation Extremes with a Large Ensemble Climate Simulation</t>
  </si>
  <si>
    <t>10.1016/j.compgeo.2020.103534</t>
  </si>
  <si>
    <t>Dynamic Multiple Access Based on RSMA and Spectrum Sharing for Integrated Satellite-Terrestrial Networks</t>
  </si>
  <si>
    <t>10.1109/TIE.2022.3153801</t>
  </si>
  <si>
    <t>Simultaneous Localization and Communications With Massive MIMO-OTFS</t>
  </si>
  <si>
    <t>10.1016/j.carbon.2020.03.038</t>
  </si>
  <si>
    <t>Quenching time-scales in the IllustrisTNG simulation</t>
  </si>
  <si>
    <t>10.3389/fphys.2020.00813</t>
  </si>
  <si>
    <t>Work fluctuations for diffusion dynamics submitted to stochastic return</t>
  </si>
  <si>
    <t>Experimental and numerical assessment of an optimised, non-axial wave rotor turbine</t>
  </si>
  <si>
    <t>10.1016/j.apenergy.2020.115013</t>
  </si>
  <si>
    <t>Achieving significantly enhanced piezoelectricity in aurivillius ceramics by improving initial polarization and dielectric breakdown strength</t>
  </si>
  <si>
    <t>A Mechanistic Model for Lateral Erosion of Bedrock Channel Banks by Bedload Particle Impacts</t>
  </si>
  <si>
    <t>10.1029/2019JF005509</t>
  </si>
  <si>
    <t>Multitask Deep Learning Reconstruction and Localization of Lesions in Limited Angle Diffuse Optical Tomography</t>
  </si>
  <si>
    <t>10.1109/JSAC.2020.3018795</t>
  </si>
  <si>
    <t>Using pre-failure and post-failure remote sensing data to constrain the three-dimensional numerical model of a large rock slope failure</t>
  </si>
  <si>
    <t>Inferring structural variant cancer cell fraction</t>
  </si>
  <si>
    <t>10.1038/s41467-020-14351-8</t>
  </si>
  <si>
    <t>Simulation of cathode catalyst durability under fuel cell vehicle operation â€“Effects of stack size and temperature</t>
  </si>
  <si>
    <t>Measurements of the production cross-section for a Z boson in association with b-jets in proton-proton collisions at √s = 13 TeV with the ATLAS detector</t>
  </si>
  <si>
    <t>10.1007/JHEP07(2020)044</t>
  </si>
  <si>
    <t>Integrated Satellite-Terrestrial Network Framework for Next Generation Smart Grid</t>
  </si>
  <si>
    <t>Reduced rate of land subsidence since 2016 in Beijing, China: evidence from Tomo-PSInSAR using RadarSAT-2 and Sentinel-1 datasets</t>
  </si>
  <si>
    <t>10.1080/01431161.2019.1662967</t>
  </si>
  <si>
    <t>Effective Resource Competition Model for Species Coexistence</t>
  </si>
  <si>
    <t>10.1109/LRA.2023.3292004</t>
  </si>
  <si>
    <t>The Energy of Muscle Contraction. II. Transverse Compression and Work</t>
  </si>
  <si>
    <t>Non-CO2 forcing changes will likely decrease the remaining carbon budget for 1.5 °C</t>
  </si>
  <si>
    <t>10.1038/s41612-020-0123-3</t>
  </si>
  <si>
    <t>Snow water equivalent change mapping from slope-correlated synthetic aperture radar interferometry (InSAR) phase variations</t>
  </si>
  <si>
    <t>Aadam: A Fast, Accurate, and Versatile Aging-Aware Cell Library Delay Model using Feed-Forward Neural Network</t>
  </si>
  <si>
    <t>10.1145/3400302.3415605</t>
  </si>
  <si>
    <t>Fusion-DHL: WiFi, IMU, and Floorplan Fusion for Dense History of Locations in Indoor Environments</t>
  </si>
  <si>
    <t>10.1016/j.trd.2021.102724</t>
  </si>
  <si>
    <t>Solving dynamic satellite image data downlink scheduling problem via an adaptive bi-objective optimization algorithm</t>
  </si>
  <si>
    <t>“Ending the epidemic” will not happen without addressing racial/ ethnic disparities in the United States human immunodeficiency virus epidemic</t>
  </si>
  <si>
    <t>10.1093/cid/ciaa566</t>
  </si>
  <si>
    <t>The Rise of Foreign Direct Investment Regulation in Investmentâ€recipient Countries</t>
  </si>
  <si>
    <t>Bioenergetic Habitat Suitability Curves for Instream Flow Modeling: Introducing User-Friendly Software and its Potential Applications</t>
  </si>
  <si>
    <t>10.1002/fsh.10489</t>
  </si>
  <si>
    <t>The fragmentation-induced fluidisation of pyroclastic density currents</t>
  </si>
  <si>
    <t>Predictive validity of the Structured Assessment of Violence Risk in Youth (SAVRY) with Indigenous and Caucasian female and male adolescents on probation.</t>
  </si>
  <si>
    <t>10.1037/pas0000816</t>
  </si>
  <si>
    <t>The effect of stiffened diabetic red blood cells on wall shear stress in a reconstructed 3D microaneurysm</t>
  </si>
  <si>
    <t>Antarctic sea ice over the past 130 000 years - Part 1: a review of what proxy records tell us</t>
  </si>
  <si>
    <t>10.5194/cp-18-1729-2022</t>
  </si>
  <si>
    <t>A Computerized Frailty Assessment Tool at Points-of-Care: Development of a Standalone Electronic Comprehensive Geriatric Assessment/Frailty Index (eFI-CGA)</t>
  </si>
  <si>
    <t>10.1109/JAS.2020.1003432</t>
  </si>
  <si>
    <t>Reconstructing evolutionary trajectories of mutation signature activities in cancer using TrackSig</t>
  </si>
  <si>
    <t>10.1038/s41467-020-14352-7</t>
  </si>
  <si>
    <t>Modelling the impact of household size distribution on the transmission dynamics of COVID-19</t>
  </si>
  <si>
    <t>How to slash greenhouse gas emissions in the freight sector: Policy insights from a technology-adoption model of Canada</t>
  </si>
  <si>
    <t>10.1016/j.enpol.2019.111093</t>
  </si>
  <si>
    <t>Voltage Source Converters Connected to Very Weak Grids: Accurate Dynamic Modeling, Small-Signal Analysis, and Stability Improvement</t>
  </si>
  <si>
    <t>10.1109/TITS.2021.3099825</t>
  </si>
  <si>
    <t>Binding of calcium and magnesium to human cardiac troponin C</t>
  </si>
  <si>
    <t>Self-Assembled Epitaxial Ferroelectric Oxide Nanospring with Super-Scalability</t>
  </si>
  <si>
    <t>10.1002/adma.202108419</t>
  </si>
  <si>
    <t>Spatiotemporal development of informal settlements in Cape Town, 2000 to 2020: An open data approach</t>
  </si>
  <si>
    <t>10.1103/PhysRevD.105.023513</t>
  </si>
  <si>
    <t>Structural Properties of Inverted Hexagonal Phase: A Hybrid Computational and Experimental Approach</t>
  </si>
  <si>
    <t>Observation of photon-induced W+W− production in pp collisions at s=13 TeV using the ATLAS detector</t>
  </si>
  <si>
    <t>10.1016/j.physletb.2021.136190</t>
  </si>
  <si>
    <t>Hierarchical Time-Series Assessment and Control for Transient Stability Enhancement in Islanded Microgrids</t>
  </si>
  <si>
    <t>Vectorizing World Buildings: Planar Graph Reconstruction by Primitive Detection and Relationship Inference</t>
  </si>
  <si>
    <t>10.1007/978-3-030-58598-3_42</t>
  </si>
  <si>
    <t>Sparse functional principal component analysis in a new regression framework</t>
  </si>
  <si>
    <t>10.1109/TSG.2023.3237965</t>
  </si>
  <si>
    <t>A mathematical model for SARS-CoV-2 in variable-order fractional derivative</t>
  </si>
  <si>
    <t>10.1109/TPEL.2023.3347900</t>
  </si>
  <si>
    <t>A new first-principles model to predict mild and deep surge for a centrifugal compressor</t>
  </si>
  <si>
    <t>Searches for lepton-flavour-violating decays of the Higgs boson into eτ and μτ in √s = 13 TeV pp collisions with the ATLAS detector</t>
  </si>
  <si>
    <t>10.1007/JHEP07(2023)166</t>
  </si>
  <si>
    <t>Light dark matter accumulating in planets: Nuclear scattering</t>
  </si>
  <si>
    <t>A review of the efforts to develop muscle and musculoskeletal models for biomechanics in the last 50 years</t>
  </si>
  <si>
    <t>10.1016/j.jbiomech.2023.111657</t>
  </si>
  <si>
    <t>Spatial and temporal changes in climate extremes over northwestern North America: the influence of internal climate variability and external forcing</t>
  </si>
  <si>
    <t>Mitigation of mechanical membrane degradation in fuel cells – Part 2: Bonded membrane electrode assembly</t>
  </si>
  <si>
    <t>10.1016/j.jpowsour.2021.230431</t>
  </si>
  <si>
    <t>Heat fluctuations in a harmonic chain of active particles</t>
  </si>
  <si>
    <t>10.1098/rsta.2020.0362</t>
  </si>
  <si>
    <t>Face Masks, Public Policies and Slowing the Spread of COVID-19: Evidence from Canada</t>
  </si>
  <si>
    <t>Measurements of inclusive and differential cross-sections of combined tt¯ γ and tWγ production in the eμ channel at 13 TeV with the ATLAS detector</t>
  </si>
  <si>
    <t>10.1007/JHEP09(2020)049</t>
  </si>
  <si>
    <t>Predicting the onset of breast cancer using mammogram imaging data with irregular boundary</t>
  </si>
  <si>
    <t>10.1109/TWC.2023.3326245</t>
  </si>
  <si>
    <t>Online Incentive Mechanisms for Socially-Aware and Socially-Unaware Mobile Crowdsensing</t>
  </si>
  <si>
    <t>10.1093/mnras/stac283</t>
  </si>
  <si>
    <t>A Comparison of Intra-Annual and Long-Term Trend Scaling of Extreme Precipitation with Temperature in a Large-Ensemble Regional Climate Simulation</t>
  </si>
  <si>
    <t>Interactive Visualization Applications in Population Health and Health Services Research: Systematic Scoping Review</t>
  </si>
  <si>
    <t>10.2196/27534</t>
  </si>
  <si>
    <t>Using UAV-based multispectral and RGB imagery to monitor above-ground biomass of oat-based diversified cropping</t>
  </si>
  <si>
    <t>10.1016/j.enconman.2021.114805</t>
  </si>
  <si>
    <t>SAPIEN: A SimulAted Part-based Interactive ENvironment</t>
  </si>
  <si>
    <t>Uncertainty estimation for deep learning-based segmentation of roads in synthetic aperture radar imagery</t>
  </si>
  <si>
    <t>10.3390/rs13081472</t>
  </si>
  <si>
    <t>A Dominating Set-Based Sleep Scheduling in Energy Harvesting WBANs</t>
  </si>
  <si>
    <t>10.1109/ICRA48506.2021.9560790</t>
  </si>
  <si>
    <t>Numerical optimisation of a micro-wave rotor turbine using a quasi-two-dimensional CFD model and a hybrid algorithm</t>
  </si>
  <si>
    <t>10.1016/j.engappai.2020.104089</t>
  </si>
  <si>
    <t>RARG S427L attenuates the DNA repair response to doxorubicin in induced pluripotent stem cell-derived cardiomyocytes</t>
  </si>
  <si>
    <t>A computational analysis on the operational behaviour of open-cathode polymer electrolyte membrane fuel cells</t>
  </si>
  <si>
    <t>10.1016/j.ijhydene.2020.09.133</t>
  </si>
  <si>
    <t>How much does that cost? Examining the economic costs of crime in North America attributable to people with psychopathic personality disorder.</t>
  </si>
  <si>
    <t>10.1088/1367-2630/ab9fbe</t>
  </si>
  <si>
    <t>Transient Stabilization Control of Electric Synchronous Machine for Preventing the Collapse of DC-Link Voltage</t>
  </si>
  <si>
    <t>Effects of Residual Hardware Impairments on Secure NOMA-Based Cooperative Systems</t>
  </si>
  <si>
    <t>10.1109/ACCESS.2019.2951940</t>
  </si>
  <si>
    <t>WETMETH 1.0: a new wetland methane model for implementation in Earth system models</t>
  </si>
  <si>
    <t>10.1109/TSG.2024.3424150</t>
  </si>
  <si>
    <t>uTPI: A utilityâ€based toxicity probability interval design for phase I/II doseâ€finding trials</t>
  </si>
  <si>
    <t>Comparing policy pathways to achieve 100% zero-emissions vehicle sales by 2035</t>
  </si>
  <si>
    <t>10.1016/j.trd.2022.103488</t>
  </si>
  <si>
    <t>Stellar populations with optical spectra: deep learning versus popular spectrum fitting codes</t>
  </si>
  <si>
    <t>Accounting for temporal change in multiple biodiversity patterns improves the inference of metacommunity processes</t>
  </si>
  <si>
    <t>10.1002/ecy.3683</t>
  </si>
  <si>
    <t>Thermodynamic work of partial resetting</t>
  </si>
  <si>
    <t>10.1007/s10346-020-01552-x</t>
  </si>
  <si>
    <t>The potential of noisy galvanic vestibular stimulation for optimizing and assisting human performance</t>
  </si>
  <si>
    <t>Planck 2018 results: II. Low Frequency Instrument data processing</t>
  </si>
  <si>
    <t>10.1051/0004-6361/201833293</t>
  </si>
  <si>
    <t>Quantum and classical molecular dynamics simulations of shocked polyurea and polyurethane</t>
  </si>
  <si>
    <t>Sea wrack delivery and accumulation on islands: Factors that mediate marine nutrient permeability</t>
  </si>
  <si>
    <t>10.3354/MEPS13197</t>
  </si>
  <si>
    <t>Scientific inquiry learning with a simulation: providing within-task guidance tailored to learnersâ€™ understanding and inquiry skill</t>
  </si>
  <si>
    <t>Tools for estimating fake/non-prompt lepton backgrounds with the ATLAS detector at the LHC</t>
  </si>
  <si>
    <t>10.1088/1748-0221/18/11/T11004</t>
  </si>
  <si>
    <t>An Approach to Minimize Atmospheric Correction Error and Improve Physics-Based Satellite-Derived Bathymetry in a Coastal Environment</t>
  </si>
  <si>
    <t>Cost-Effectiveness Analysis in Implementation Science: a Research Agenda and Call for Wider Application</t>
  </si>
  <si>
    <t>10.1007/s11904-021-00550-5</t>
  </si>
  <si>
    <t>Attention Graph Convolutional Network for Disjoint Hyperspectral Image Classification</t>
  </si>
  <si>
    <t>PPGSynth: An Innovative Toolbox for Synthesizing Regular and Irregular Photoplethysmography Waveforms</t>
  </si>
  <si>
    <t>10.3389/fmed.2020.597774</t>
  </si>
  <si>
    <t>Cophy: Counterfactual Learning of Physical Dynamics</t>
  </si>
  <si>
    <t>When Crowd Meets Big Video Data: Cloud-Edge Collaborative Transcoding for Personal Livecast</t>
  </si>
  <si>
    <t>10.1109/TNSE.2018.2873311</t>
  </si>
  <si>
    <t>Offshore wind energy prospects for power-to-direct air capture and power-to-gas</t>
  </si>
  <si>
    <t>10.1016/j.cor.2023.106388</t>
  </si>
  <si>
    <t>A GATE simulation study for dosimetry in cancer cell and micrometastasis from the 225Ac decay chain</t>
  </si>
  <si>
    <t>10.1038/s41467-023-37867-1</t>
  </si>
  <si>
    <t>The impact of the QBO on the region of the tropical tropopause in QBOi models: Presentâ€day simulations</t>
  </si>
  <si>
    <t>10.1016/j.jeurceramsoc.2023.04.017</t>
  </si>
  <si>
    <t>TrafficVLM: A Controllable Visual Language Model for Traffic Video Captioning</t>
  </si>
  <si>
    <t>Charge effects in donor-doped perovskite ferroelectrics</t>
  </si>
  <si>
    <t>10.1111/jace.17270</t>
  </si>
  <si>
    <t>Aquivion Ionomer in Mixed Alcoholâ€“Water Solution: Insights from Multiscale Molecular Modeling</t>
  </si>
  <si>
    <t>Simulation of cathode catalyst durability under fuel cell vehicle operation –Effects of stack size and temperature</t>
  </si>
  <si>
    <t>10.1016/j.jpowsour.2023.233820</t>
  </si>
  <si>
    <t>Categorized review of drive simulators and driver behavior analysis focusing on ACT-R architecture in autonomous vehicles</t>
  </si>
  <si>
    <t>The Mira–Titan Universe – IV. High-precision power spectrum emulation</t>
  </si>
  <si>
    <t>10.1093/mnras/stac3452</t>
  </si>
  <si>
    <t>Bridging structural and functional hydrological connectivity in dryland ecosystems</t>
  </si>
  <si>
    <t>10.1088/1367-2630/aca25e</t>
  </si>
  <si>
    <t>Functional single-index quantile regression models</t>
  </si>
  <si>
    <t>10.1007/s00193-020-00979-4</t>
  </si>
  <si>
    <t>Batch Adaptative Streaming for Video Analytics</t>
  </si>
  <si>
    <t>Perspectives on the prospective development of stroke-specific lower extremity wearable monitoring technology: A qualitative focus group study with physical therapists and individuals with stroke</t>
  </si>
  <si>
    <t>10.1186/s12984-020-00666-6</t>
  </si>
  <si>
    <t>Fluctuations of entropy production of a run-and-tumble particle</t>
  </si>
  <si>
    <t>Measurement, analysis, and enhancement of multipath tcp energy efficiency for datacenters</t>
  </si>
  <si>
    <t>10.1109/TNET.2019.2950908</t>
  </si>
  <si>
    <t>Bayesian adaptive model selection design for optimal biological dose finding in phase I/II clinical trials</t>
  </si>
  <si>
    <t>An annealed sequential Monte Carlo method for Bayesian phylogenetics</t>
  </si>
  <si>
    <t>10.1093/sysbio/syz028</t>
  </si>
  <si>
    <t>Determining the critical plastically dissipated energy for fatigue crack growth in PEM fuel cell membrane and its environmental sensitivity</t>
  </si>
  <si>
    <t>Simultaneous Localization and Communications with Massive MIMO-OTFS</t>
  </si>
  <si>
    <t>10.1109/JSAC.2023.3322818</t>
  </si>
  <si>
    <t>Active Sediment Generation on Coral Reef Flats Contributes to Recent Reef Island Expansion</t>
  </si>
  <si>
    <t>Multitask deep learning reconstruction and localization of lesions in limited angle diffuse optical tomography</t>
  </si>
  <si>
    <t>10.1109/TMI.2021.3117276</t>
  </si>
  <si>
    <t>A deep residual reinforcement learning algorithm based on Soft Actor-Critic for autonomous navigation</t>
  </si>
  <si>
    <t>10.1016/j.coldregions.2021.103462</t>
  </si>
  <si>
    <t>Intelligent Spectrum Controlled Supplemental Lighting for Daylight Harvesting</t>
  </si>
  <si>
    <t>Multi-response optimization toward efficient and clean (co-)combustions of textile dyeing sludge and second-generation feedstock</t>
  </si>
  <si>
    <t>10.1016/j.jhazmat.2020.124824</t>
  </si>
  <si>
    <t>On the ordering of credibility factors</t>
  </si>
  <si>
    <t>10.1109/TSG.2022.3187871</t>
  </si>
  <si>
    <t>Optimizing neutron moderators for a spallation-driven ultracold-neutron source at TRIUMF</t>
  </si>
  <si>
    <t>10.1140/epjs/s11734-022-00458-0</t>
  </si>
  <si>
    <t>Tensor Completion Methods for Collaborative Intelligence</t>
  </si>
  <si>
    <t>Learning and Exploring Motor Skills with Spacetime Bounds</t>
  </si>
  <si>
    <t>10.1111/cgf.142630</t>
  </si>
  <si>
    <t>Electrophysiological characterization of the hERG R56Q LQTS variant and targeted rescue by the activator RPR260243</t>
  </si>
  <si>
    <t>10.3389/fphys.2020.538522</t>
  </si>
  <si>
    <t>What does a low-carbon fuel standard contribute to a policy mix? An interdisciplinary review of evidence and research gaps</t>
  </si>
  <si>
    <t>10.1109/LGRS.2024.3356422</t>
  </si>
  <si>
    <t>Frontiers of Brain-Inspired Autonomous Systems: How Does Defense R&amp;amp;D Drive the Innovations?</t>
  </si>
  <si>
    <t>Seasonal development and radiative forcing of red snow algal blooms on two glaciers in British Columbia, Canada, summer 2020</t>
  </si>
  <si>
    <t>10.1016/j.rse.2022.113164</t>
  </si>
  <si>
    <t>Atomistic simulation of tensile strength properties of graphene with complex vacancy and topological defects</t>
  </si>
  <si>
    <t>10.1016/j.energy.2021.123050</t>
  </si>
  <si>
    <t>Nematic Quantum Criticality in Dirac Systems</t>
  </si>
  <si>
    <t>LARGE BATCH SIMULATION FOR DEEP REINFORCEMENT LEARNING</t>
  </si>
  <si>
    <t>Molecular dynamics study on the shock induced spallation of polyethylene</t>
  </si>
  <si>
    <t>Classifying sitting, standing, and walking using plantar force data</t>
  </si>
  <si>
    <t>10.1007/s11517-020-02297-4</t>
  </si>
  <si>
    <t>Southern Ocean Ecosystem Response to Last Glacial Maximum Boundary Conditions</t>
  </si>
  <si>
    <t>10.1016/j.csda.2020.107016</t>
  </si>
  <si>
    <t>Sources and environmental fate of halomethoxybenzenes</t>
  </si>
  <si>
    <t>10.1021/acs.langmuir.0c00600</t>
  </si>
  <si>
    <t>Preservation and Destruction of Holocene Marine Terraces: The Effects of Episodic Versus Gradual Relative Sea Level Change</t>
  </si>
  <si>
    <t>10.3389/fpubh.2020.00089</t>
  </si>
  <si>
    <t>Interleaved Predictive Control and Planning for an Unmanned Aerial Manipulator With on-the-Fly Rapid Re-Planning in Unknown Environments</t>
  </si>
  <si>
    <t>Deep Learning With Functional Inputs</t>
  </si>
  <si>
    <t>10.1080/10618600.2022.2097914</t>
  </si>
  <si>
    <t>How Much Does That Cost? Examining the Economic Costs of Crime in North America Attributable to People With Psychopathic Personality Disorder</t>
  </si>
  <si>
    <t>10.1037/per0000575</t>
  </si>
  <si>
    <t>Functional principal component analysis for longitudinal data with informative dropout</t>
  </si>
  <si>
    <t>10.1103/PRXQuantum.2.030317</t>
  </si>
  <si>
    <t>Two-Dimensional Functional Principal Component Analysis for Image Feature Extraction</t>
  </si>
  <si>
    <t>Human-centred design processes for clinical decision support: A pulmonary embolism case study</t>
  </si>
  <si>
    <t>10.1016/j.ijmedinf.2020.104196</t>
  </si>
  <si>
    <t>Atomistic Modelling of Size-Dependent Mechanical Properties and Fracture of Pristine and Defective Cove-Edged Graphene Nanoribbons</t>
  </si>
  <si>
    <t>Voltage source converters connected to very weak grids: Accurate dynamic modeling, small-signal analysis, and stability improvement</t>
  </si>
  <si>
    <t>10.1109/ACCESS.2020.3035840</t>
  </si>
  <si>
    <t>Towards Sustainable Multi-Tier Space Networking for LEO Satellite Constellations</t>
  </si>
  <si>
    <t>10.1093/mnras/stae1114</t>
  </si>
  <si>
    <t>Unsynchronized Underwater Localization With Isogradient Sound Speed Profile and Anchor Location Uncertainties</t>
  </si>
  <si>
    <t>A constrained robust switching MPC structure for tilt-rotor UAV trajectory tracking problem</t>
  </si>
  <si>
    <t>10.1007/s11071-023-08787-y</t>
  </si>
  <si>
    <t>Joint Broadcast and Unicast Transmission Based on RSMA and Spectrum Sharing for Integrated Satelliteâ€“Terrestrial Network</t>
  </si>
  <si>
    <t>10.3389/fphy.2023.1108357</t>
  </si>
  <si>
    <t>Sequential Radial Basis Function-Based Optimization Method Using Virtual Sample Generation</t>
  </si>
  <si>
    <t>Simulated patients and their reality: An inquiry into theory and method</t>
  </si>
  <si>
    <t>10.1016/j.socscimed.2021.114571</t>
  </si>
  <si>
    <t>Planning capacity for 5G and beyond wireless networks by discrete fireworks algorithm with ensemble of local search methods</t>
  </si>
  <si>
    <t>Virtual Transcendent Dream: Empowering People through Embodied Flying in Virtual Reality</t>
  </si>
  <si>
    <t>10.1145/3491102.3517677</t>
  </si>
  <si>
    <t>Estimating animal utilization distributions from multiple data types: A joint spatiotemporal point process framework</t>
  </si>
  <si>
    <t>Reliable Ge2Sb2Te5 based phase-change electronic synapses using carbon doping and programmed pulses</t>
  </si>
  <si>
    <t>10.1016/j.jmat.2021.08.004</t>
  </si>
  <si>
    <t>A Novel 4H-SiC JBS-Integrated MOSFET With Self-Pinching Structure for Improved Short-Circuit Capability</t>
  </si>
  <si>
    <t>10.1109/IWQoS54832.2022.9812872</t>
  </si>
  <si>
    <t>The role of spatial structure in atâ€risk metapopulation recoveries</t>
  </si>
  <si>
    <t>10.1109/INFOCOM48880.2022.9796853</t>
  </si>
  <si>
    <t>Enhancing Scientific Discovery Learning by Just-in-Time Prompts in a Simulation-Assisted Inquiry Environment</t>
  </si>
  <si>
    <t>10.1038/s41396-020-00867-w</t>
  </si>
  <si>
    <t>Fluidâ€Driven Transport of Round Sediment Particles: From Discrete Simulations to Continuum Modeling</t>
  </si>
  <si>
    <t>10.1098/rsif.2021.0036</t>
  </si>
  <si>
    <t>Future changes in precipitation-caused landslide frequency in British Columbia</t>
  </si>
  <si>
    <t>10.1109/ICRA48506.2021.9561115</t>
  </si>
  <si>
    <t>The Importance of Rock Mass Damage in the Kinematics of Landslides</t>
  </si>
  <si>
    <t>COVID-19 on the African continent</t>
  </si>
  <si>
    <t>10.1016/S1473-3099(20)30374-1</t>
  </si>
  <si>
    <t>Inclusive HRI: Equity and Diversity in Design, Application, Methods, and Community</t>
  </si>
  <si>
    <t>Markov decision processes with dynamic transition probabilities: An analysis of shooting strategies in basketball</t>
  </si>
  <si>
    <t>10.1214/20-AOAS1348</t>
  </si>
  <si>
    <t>SSL-SoilNet: A Hybrid Transformer-Based Framework With Self-Supervised Learning for Large-Scale Soil Organic Carbon Prediction</t>
  </si>
  <si>
    <t>Deep Generative Models for Fast Photon Shower Simulation in ATLAS</t>
  </si>
  <si>
    <t>10.1007/s41781-023-00106-9</t>
  </si>
  <si>
    <t>Modeling and Control of a Multifunctional Three-Phase Converter for Bidirectional Power Flow in Plug-In Electric Vehicles</t>
  </si>
  <si>
    <t>10.1109/TMC.2023.3321701</t>
  </si>
  <si>
    <t>A Comprehensive Review on Transient Recovery Voltage in Power Systems: Models, Standardizations and Analysis</t>
  </si>
  <si>
    <t>Artificial intelligence for family medicine research in Canada: current state and future directions; L’intelligence artificielle pour la recherche en médecine familiale au Canada: état de la situation et orientations futures</t>
  </si>
  <si>
    <t>10.46747/cfp.7003161</t>
  </si>
  <si>
    <t>A Modular Multilevel Converter Station With Multiple MVac Ports</t>
  </si>
  <si>
    <t>10.1080/02664763.2023.2272223</t>
  </si>
  <si>
    <t>COVID-19 Vaccination Mandates and Vaccine Uptake</t>
  </si>
  <si>
    <t>10.1016/j.seta.2023.103044</t>
  </si>
  <si>
    <t>Hybrid User-Based Task Assignment for Mobile Crowdsensing: Problem and Algorithm</t>
  </si>
  <si>
    <t>10.1016/j.commatsci.2021.111166</t>
  </si>
  <si>
    <t>Hardware Design and Verification with Large Language Models: A Scoping Review, Challenges, and Open Issues</t>
  </si>
  <si>
    <t>Nanolayer Laser Absorber for Femtoliter Chemistry in Polymer Reactors</t>
  </si>
  <si>
    <t>10.1002/adma.202108493</t>
  </si>
  <si>
    <t>Snow profile alignment and similarity assessment for aggregating, clustering, and evaluating snowpack model output for avalanche forecasting</t>
  </si>
  <si>
    <t>10.1080/10255842.2022.2034794</t>
  </si>
  <si>
    <t>Towards Intelligent Mobile Crowdsensing With Task State Information Sharing Over Edge-Assisted UAV Networks</t>
  </si>
  <si>
    <t>A dominating set-based sleep scheduling in energy harvesting wbans</t>
  </si>
  <si>
    <t>10.1109/TVT.2021.3085833</t>
  </si>
  <si>
    <t>Chemical Promiscuity of Non-Macrocyclic Multidentate Chelating Ligands for Radiometal Ions: H&lt;sub&gt;4&lt;/sub&gt;neunpa-NH&lt;sub&gt;2&lt;/sub&gt; &lt;i&gt;vs&lt;/i&gt; H&lt;sub&gt;4&lt;/sub&gt;noneunpa</t>
  </si>
  <si>
    <t>Critical research techniques in animal and habitat ecology: International examples</t>
  </si>
  <si>
    <t>Three-dimensional simulation of hydraulic fracture propagation height in layered formations</t>
  </si>
  <si>
    <t>A reinterpretation of the Downie Slide (British Columbia, Canada) based on slope damage characterization and subsurface data interpretation</t>
  </si>
  <si>
    <t>10.1007/s10346-020-01601-5</t>
  </si>
  <si>
    <t>Using snow depth observations to provide insight into the quality of snowpack simulations for regional-scale avalanche forecasting</t>
  </si>
  <si>
    <t>10.1002/sim.8798</t>
  </si>
  <si>
    <t>LBGP: Learning Based Goal Planning for Autonomous Following in Front</t>
  </si>
  <si>
    <t>10.1186/s13638-020-01798-y</t>
  </si>
  <si>
    <t>The Nanostructure of HMT-PMBI, a Sterically Hindered Ionene</t>
  </si>
  <si>
    <t>10.1007/s11222-019-09917-6</t>
  </si>
  <si>
    <t>Apparent superballistic dynamics in one-dimensional random walks with biased detachment</t>
  </si>
  <si>
    <t>Spatio-temporal characterization of slope damage: insights from the Ten Mile Slide, British Columbia, Canada</t>
  </si>
  <si>
    <t>10.1007/s10346-020-01352-3</t>
  </si>
  <si>
    <t>Recovering the underlying trajectory from sparse and irregular longitudinal data</t>
  </si>
  <si>
    <t>Mass measurements of neutron-rich gallium isotopes refine production of nuclei of the first r -process abundance peak in neutron-star merger calculations</t>
  </si>
  <si>
    <t>10.1103/PhysRevC.101.025803</t>
  </si>
  <si>
    <t>Analytical model for predicting tool wear in orthogonal machining of unidirectional carbon fibre reinforced polymer (CFRP)</t>
  </si>
  <si>
    <t>Updated cost-effectiveness analysis of lung cancer screening for Australia, capturing differences in the health economic impact of NELSON and NLST outcomes</t>
  </si>
  <si>
    <t>10.1038/s41416-022-02026-8</t>
  </si>
  <si>
    <t>How to design a zero-emissions vehicle mandate? Simulating impacts on sales, GHG emissions and cost-effectiveness using the AUtomaker-Consumer Model (AUM)</t>
  </si>
  <si>
    <t>VARIABLE SELECTION FOR MULTIPLE FUNCTION-ON-FUNCTION LINEAR REGRESSION</t>
  </si>
  <si>
    <t>10.5705/ss.202020.0473</t>
  </si>
  <si>
    <t>Filaments of the Slime Mold Cosmic Web and How They Affect Galaxy Evolution</t>
  </si>
  <si>
    <t>Atrial-specific hiPSC-derived cardiomyocytes in drug discovery and disease modeling</t>
  </si>
  <si>
    <t>10.1016/j.ymeth.2021.06.009</t>
  </si>
  <si>
    <t>Signal Temporal Logic Meets Reachability: Connections and Applications</t>
  </si>
  <si>
    <t>10.1016/j.stemcr.2022.03.002</t>
  </si>
  <si>
    <t>FeetBack: Augmenting Robotic Telepresence with Haptic Feedback on the Feet</t>
  </si>
  <si>
    <t>10.1109/HRI53351.2022.9889455</t>
  </si>
  <si>
    <t>Sitting or Standing in VR: About Comfort, Conflicts, and Hazards</t>
  </si>
  <si>
    <t>Configuration and performance of the ATLAS b-jet triggers in Run 2</t>
  </si>
  <si>
    <t>10.1140/epjc/s10052-021-09775-5</t>
  </si>
  <si>
    <t>Inductive Textile Sensor Design and Validation for a Wearable Monitoring Device</t>
  </si>
  <si>
    <t>10.1103/PhysRevE.104.024605</t>
  </si>
  <si>
    <t>SWIPT-Enabled Cooperative NOMA With &lt;i&gt;m&lt;/i&gt;th Best Relay Selection</t>
  </si>
  <si>
    <t>Correlating Tissue Mechanics and Spinal Cord Injury: Patient-Specific Finite Element Models of Unilateral Cervical Contusion Spinal Cord Injury in Non-Human Primates</t>
  </si>
  <si>
    <t>10.1089/neu.2019.6840</t>
  </si>
  <si>
    <t>Estimating Truncated Functional Linear Models With a Nested Group Bridge Approach</t>
  </si>
  <si>
    <t>10.1016/j.neuropsychologia.2021.107751</t>
  </si>
  <si>
    <t>Reliable resistive switching of epitaxial single crystalline cubic Y-HfO &lt;sub&gt;2&lt;/sub&gt; RRAMs with Si as bottom electrodes</t>
  </si>
  <si>
    <t>Splitstrains, a tool to identify and separate mixed mycobacterium tuberculosis infections from wgs data</t>
  </si>
  <si>
    <t>10.1099/MGEN.0.000607</t>
  </si>
  <si>
    <t>Ultra-Fast MPPT for Residential PV Systems With Low DC-Link Capacitance and Differential Power Processing</t>
  </si>
  <si>
    <t>10.1115/1.4046650</t>
  </si>
  <si>
    <t>An approach to minimize atmospheric correction error and improve physics-based satellite-derived bathymetry in a coastal environment</t>
  </si>
  <si>
    <t>10.3390/RS12172752</t>
  </si>
  <si>
    <t>Simulated Dynamics of Mixed Versus Uniform Grain Size Sediment Pulses in a Gravelâ€Bedded River</t>
  </si>
  <si>
    <t>Reliable resistive switching of epitaxial single crystalline cubic Y-HfO2 RRAMs with Si as bottom electrodes</t>
  </si>
  <si>
    <t>10.1088/1361-6528/ab72b6</t>
  </si>
  <si>
    <t>Integration of an energyâ€“ economy model with an urban energy model</t>
  </si>
  <si>
    <t>Joint Broadcast and Unicast Transmission Based on RSMA and Spectrum Sharing for Integrated Satellite-Terrestrial Network</t>
  </si>
  <si>
    <t>10.1109/TCCN.2024.3350596</t>
  </si>
  <si>
    <t>Delta-Type Serial Shunt Soft Normally-Open Points With Wide Power Flow Regulation Range in Distributed Network</t>
  </si>
  <si>
    <t>10.1109/TVT.2024.3369089</t>
  </si>
  <si>
    <t>Free-energy transduction within autonomous systems</t>
  </si>
  <si>
    <t>Spatial-Gated Multilayer Perceptron for Land Use and Land Cover Mapping</t>
  </si>
  <si>
    <t>10.1109/LGRS.2024.3354175</t>
  </si>
  <si>
    <t>Improving the Estimation of Human Climate Influence by Selecting Appropriate Forcing Simulations</t>
  </si>
  <si>
    <t>Max-Min Fair Optimization in RSMA-Assisted Secure Communications With Artificial Noise</t>
  </si>
  <si>
    <t>10.1109/LCOMM.2023.3328782</t>
  </si>
  <si>
    <t>The structural evolution of isolated galaxies at low redshift in the IllustrisTNG simulation</t>
  </si>
  <si>
    <t>Use of reduced-voltage EIS to establish a relation between oxygen concentration and EIS responses of large commercial PEM fuel cell modules</t>
  </si>
  <si>
    <t>10.1016/j.ijhydene.2023.04.323</t>
  </si>
  <si>
    <t>Assessment of Drugâ€“Drug Interaction Risk Between Intravenous Fentanyl and the Glecaprevir/Pibrentasvir Combination Regimen in Hepatitis C Patients Using Physiologically Based Pharmacokinetic Modeling and Simulations</t>
  </si>
  <si>
    <t>10.1016/j.catena.2023.107322</t>
  </si>
  <si>
    <t>Application of long short-term memory neural network and optimal control to variable-order fractional model of HIV/AIDS</t>
  </si>
  <si>
    <t>10.1016/j.habitatint.2023.102753</t>
  </si>
  <si>
    <t>Hybrids of machine learning techniques and wavelet regression for estimation of daily solar radiation</t>
  </si>
  <si>
    <t>Modelling and computational improvements to the simulation of single vector-boson plus jet processes for the ATLAS experiment</t>
  </si>
  <si>
    <t>10.1007/JHEP08(2022)089</t>
  </si>
  <si>
    <t>Model-Robust Subdata Selection for Big Data</t>
  </si>
  <si>
    <t>10.5194/tc-16-1497-2022</t>
  </si>
  <si>
    <t>Robust Functional Principal Component Analysis Based on a New Regression Framework</t>
  </si>
  <si>
    <t>10.1063/5.0072249</t>
  </si>
  <si>
    <t>Sparse functional partial least squares regression with a locally sparse slope function</t>
  </si>
  <si>
    <t>uTPI: A utility-based toxicity probability interval design for phase I/II dose-finding trials</t>
  </si>
  <si>
    <t>10.1002/sim.8922</t>
  </si>
  <si>
    <t>Evaluating Association Between Two Event Times with Observations Subject to Informative Censoring</t>
  </si>
  <si>
    <t>10.1029/2020GL088752</t>
  </si>
  <si>
    <t>Spatial Modeling of &lt;i&gt;Mycobacterium Tuberculosis&lt;/i&gt; Transmission with Dyadic Genetic Relatedness Data</t>
  </si>
  <si>
    <t>10.1016/j.ijfatigue.2020.105697</t>
  </si>
  <si>
    <t>Power and Voltage Control Based on DC Offset Injection for Bipolar Low-voltage DC Distribution System</t>
  </si>
  <si>
    <t>10.1007/s00707-020-02715-6</t>
  </si>
  <si>
    <t>A unified Bayesian framework for exact inference of area under the receiver operating characteristic curve</t>
  </si>
  <si>
    <t>Atomistic modelling of size-dependent mechanical properties and fracture of pristine and defective cove-edged graphene nanoribbons</t>
  </si>
  <si>
    <t>10.3390/nano10071422</t>
  </si>
  <si>
    <t>Is there warming in the pipeline? A multi-model analysis of the zero emission commitment from CO &lt;sub&gt;2&lt;/sub&gt;</t>
  </si>
  <si>
    <t>Aquivion Ionomer in Mixed Alcohol-Water Solution: Insights from Multiscale Molecular Modeling</t>
  </si>
  <si>
    <t>10.1021/acs.jpcc.9b08969</t>
  </si>
  <si>
    <t>The Appearance of Vortices in Protoplanetary Disks in Near-infrared Scattered Light</t>
  </si>
  <si>
    <t>Fiber-fed distributed antenna system in an FPGA software defined radio for 5G demonstration</t>
  </si>
  <si>
    <t>10.1109/TCSII.2019.2909762</t>
  </si>
  <si>
    <t>A Dynamic Interaction Semiparametric Function-on-Scalar Model</t>
  </si>
  <si>
    <t>10.1109/ACCESS.2020.2977050</t>
  </si>
  <si>
    <t>A Tripartite Theory of Trustworthiness for Autonomous Systems</t>
  </si>
  <si>
    <t>Bounds to electron spin qubit variability for scalable CMOS architectures</t>
  </si>
  <si>
    <t>10.1038/s41467-024-48557-x</t>
  </si>
  <si>
    <t>A stationary impulse-radar system for autonomous deployment in cold and temperate environments</t>
  </si>
  <si>
    <t>10.1109/TIE.2023.3310008</t>
  </si>
  <si>
    <t>Regulating inbound foreign direct investment in a world of hegemonic rivalry: the evolution and diffusion of US policy</t>
  </si>
  <si>
    <t>Association of Reducing the Recommended Colorectal Cancer Screening Age With Cancer Incidence, Mortality, and Costs in Canada Using OncoSim</t>
  </si>
  <si>
    <t>10.1001/jamaoncol.2023.2312</t>
  </si>
  <si>
    <t>Evaluating post-wildfire debris-flow rainfall thresholds and volume models at the 2020 Grizzly Creek Fire in Glenwood Canyon, Colorado, USA</t>
  </si>
  <si>
    <t>10.1109/TIE.2022.3210556</t>
  </si>
  <si>
    <t>Multivalent Diffusive Transport</t>
  </si>
  <si>
    <t>10.1093/biostatistics/kxab032</t>
  </si>
  <si>
    <t>Network science inspires novel tree shape statistics</t>
  </si>
  <si>
    <t>10.1109/TED.2022.3192509</t>
  </si>
  <si>
    <t>Comparative Study of a Decadentate Acyclic Chelate, HOPO-O&lt;sub&gt;10&lt;/sub&gt;, and Its Octadentate Analogue, HOPO-O&lt;sub&gt;8&lt;/sub&gt;, for Radiopharmaceutical Applications</t>
  </si>
  <si>
    <t>Simulating competition among heavy-duty zero-emissions vehicles under different infrastructure conditions</t>
  </si>
  <si>
    <t>10.1016/j.trd.2022.103254</t>
  </si>
  <si>
    <t>How simulation modeling can support the public health response to the opioid crisis in North America: Setting priorities and assessing value</t>
  </si>
  <si>
    <t>10.1103/PhysRevLett.128.157203</t>
  </si>
  <si>
    <t>MobiSpectral: Hyperspectral Imaging on Mobile Devices</t>
  </si>
  <si>
    <t>10.1080/10618600.2022.2035738</t>
  </si>
  <si>
    <t>WFDefProxy: Real World Implementation and Evaluation of Website Fingerprinting Defenses</t>
  </si>
  <si>
    <t>10.1103/PhysRevLett.127.208101</t>
  </si>
  <si>
    <t>The role of information in a continuous double auction: An experiment and learning model</t>
  </si>
  <si>
    <t>Action-related eye measures to assess surgical expertise</t>
  </si>
  <si>
    <t>10.1093/bjsopen/zrab068</t>
  </si>
  <si>
    <t>Robust penalized Mâ€estimation for functionâ€onâ€function linear regression</t>
  </si>
  <si>
    <t>10.1109/ICRA48506.2021.9560914</t>
  </si>
  <si>
    <t>Identification and Estimation in Many-to-one Two-sided Matching without Transfers</t>
  </si>
  <si>
    <t>10.1016/j.jbc.2021.100350</t>
  </si>
  <si>
    <t>Identification and Estimation in Manyâ€toâ€One Twoâ€Sided Matching Without Transfers</t>
  </si>
  <si>
    <t>10.1103/PhysRevResearch.2.033520</t>
  </si>
  <si>
    <t>Tapered transmission lines for terahertz systems</t>
  </si>
  <si>
    <t>Impact of time-varying productivity on estimated stock–recruitment parameters and biological reference points</t>
  </si>
  <si>
    <t>10.1139/cjfas-2019-0104</t>
  </si>
  <si>
    <t>Modelling global urban land-use change process using spherical cellular automata</t>
  </si>
  <si>
    <t>10.3847/1538-4357/ad4ee2</t>
  </si>
  <si>
    <t>High Arctic channel incision modulated by climate change and the emergence of polygonal ground</t>
  </si>
  <si>
    <t>10.1109/JIOT.2024.3367958</t>
  </si>
  <si>
    <t>The Effects of Dry Snow on the SAR Impulse Response and Feasibility for Single Channel Snow Water Equivalent Estimation</t>
  </si>
  <si>
    <t>10.1109/TVT.2024.3360252</t>
  </si>
  <si>
    <t>AutoSmarTrace: Automated chain tracing and flexibility analysis of biological filaments</t>
  </si>
  <si>
    <t>10.1186/s40658-023-00564-5</t>
  </si>
  <si>
    <t>Improving Transportation Procurement in the Humanitarian Sector: A Dataâ€driven Approach for Abnormally Low Bid Detection</t>
  </si>
  <si>
    <t>10.3390/en16176348</t>
  </si>
  <si>
    <t>On estimating long period wind speed return levels from annual maxima</t>
  </si>
  <si>
    <t>Mapping Surface Water Presence and Hyporheic Flow Properties of Headwater Stream Networks With Multispectral Satellite Imagery</t>
  </si>
  <si>
    <t>10.1029/2022WR034169</t>
  </si>
  <si>
    <t>Deep Learning-Based Parameter Estimation for Neurophysiological Models of Neuroimaging Data</t>
  </si>
  <si>
    <t>10.1093/biostatistics/kxab028</t>
  </si>
  <si>
    <t>Projections of Snow Water Equivalent Using a Process-Based Energy Balance Snow Model in Southwestern British Columbia</t>
  </si>
  <si>
    <t>10.3390/geosciences13020052</t>
  </si>
  <si>
    <t>Operational oil spill modelling assessments</t>
  </si>
  <si>
    <t>10.1103/PhysRevE.107.014129</t>
  </si>
  <si>
    <t>Identifying and mitigating systematic biases in fish habitat simulation modeling: Implications for estimating minimum instream flows</t>
  </si>
  <si>
    <t>10.5194/tc-16-3393-2022</t>
  </si>
  <si>
    <t>Towards effective machine learning in medical imaging analysis: A novel approach and expert evaluation of high-grade glioma â€˜ground truthâ€™ simulation on MRI</t>
  </si>
  <si>
    <t>10.1002/cjs.11677</t>
  </si>
  <si>
    <t>Neighborhood Attention Makes the Encoder of ResUNet Stronger for Accurate Road Extraction</t>
  </si>
  <si>
    <t>Similarities between bacterial GAD and human GAD65: Implications in gut mediated autoimmune type 1 diabetes</t>
  </si>
  <si>
    <t>10.1371/journal.pone.0261103</t>
  </si>
  <si>
    <t>Modelling discontinuity control on the development of Hellâ€™s Mouth landslide</t>
  </si>
  <si>
    <t>Scientific inquiry learning with a simulation: providing within-task guidance tailored to learners’ understanding and inquiry skill</t>
  </si>
  <si>
    <t>10.1080/09500693.2022.2062799</t>
  </si>
  <si>
    <t>Multivariate Canadian Downscaled Climate Scenarios for CMIP6 (CanDCSâ€M6)</t>
  </si>
  <si>
    <t>10.1038/s41561-021-00812-2</t>
  </si>
  <si>
    <t>Estimating Genetic Similarity Matrices Using Phylogenies</t>
  </si>
  <si>
    <t>GIS-based Logic Scoring of Preference method for urban densification suitability analysis</t>
  </si>
  <si>
    <t>10.1016/j.compenvurbsys.2021.101654</t>
  </si>
  <si>
    <t>Uncertainty in Preindustrial Global Ocean Initialization Can Yield Irreducible Uncertainty in Southern Ocean Surface Climate</t>
  </si>
  <si>
    <t>Chemical Promiscuity of Non-Macrocyclic Multidentate Chelating Ligands for Radiometal Ions: H4neunpa-NH2vs H4noneunpa</t>
  </si>
  <si>
    <t>10.1021/acs.inorgchem.1c00152</t>
  </si>
  <si>
    <t>Robust estimation and variable selection for functionâ€onâ€scalar regression</t>
  </si>
  <si>
    <t>10.1016/B978-0-12-819354-9.00010-7</t>
  </si>
  <si>
    <t>Asymmetric double-layer charging in a cylindrical nanopore under closed confinement</t>
  </si>
  <si>
    <t>Inductive textile sensor design and validation for awearable monitoring device</t>
  </si>
  <si>
    <t>10.3390/s21010225</t>
  </si>
  <si>
    <t>Deep Reinforcement Learning for Flocking Control of UAVs in Complex Environments</t>
  </si>
  <si>
    <t>10.1021/acs.macromol.0c00978</t>
  </si>
  <si>
    <t>Lucid Loop: Exploring the Parallels between Immersive Experiences and Lucid Dreaming</t>
  </si>
  <si>
    <t>Virtual screening identifies chebulagic acid as an inhibitor of the M2(S31N) viral ion channel and influenza a virus</t>
  </si>
  <si>
    <t>10.3390/molecules25122903</t>
  </si>
  <si>
    <t>The Rise of Foreign Direct Investment Regulation in Investment-recipient Countries</t>
  </si>
  <si>
    <t>10.1111/1758-5899.12788</t>
  </si>
  <si>
    <t>Testing identification strength</t>
  </si>
  <si>
    <t>Oceanographic features delineate growth zonation in Northeast Pacific sablefish</t>
  </si>
  <si>
    <t>10.1016/j.fishres.2019.105414</t>
  </si>
  <si>
    <t>Lower-limb muscle function is influenced by changing mechanical demands in cycling</t>
  </si>
  <si>
    <t>Generating Robust Supervision for Learning-Based Visual Navigation Using Hamilton-Jacobi Reachability</t>
  </si>
  <si>
    <t>The Effect of Greenhouse Gasâ€“Induced Warming on the Impact of El NiÃ±o and La NiÃ±a Events on Daily Precipitation Extremes in the Boreal Cold Season</t>
  </si>
  <si>
    <t>Revolutionizing ORR catalyst design through computational methodologies and materials informatics</t>
  </si>
  <si>
    <t>10.1039/d4ey00104d</t>
  </si>
  <si>
    <t>1.2â€kV silicon carbide planar splitâ€gate MOSFET with source field plate for superior figureâ€ofâ€merits</t>
  </si>
  <si>
    <t>10.1109/TGRS.2024.3446042</t>
  </si>
  <si>
    <t>The Energy of Muscle Contraction. III. Kinetic Energy During Cyclic Contractions</t>
  </si>
  <si>
    <t>PointCAT: Contrastive Adversarial Training for Robust Point Cloud Recognition</t>
  </si>
  <si>
    <t>10.1109/TIP.2024.3372456</t>
  </si>
  <si>
    <t>Collaborative engagement experience-based learning: a teaching framework for business education</t>
  </si>
  <si>
    <t>10.35833/MPCE.2022.000088</t>
  </si>
  <si>
    <t>A &lt;i&gt;c&lt;/i&gt; / &lt;i&gt;Î¼&lt;/i&gt; â€Rule for Job Assignment in Heterogeneous Groupâ€Server Queues</t>
  </si>
  <si>
    <t>The role of spatial structure in at-risk metapopulation recoveries</t>
  </si>
  <si>
    <t>10.1002/eap.2898</t>
  </si>
  <si>
    <t>Virtual 3D Simulation Technology for Interprofessional Team Training</t>
  </si>
  <si>
    <t>10.1016/j.tranpol.2023.01.008</t>
  </si>
  <si>
    <t>A Large-scale Validation of Snowpack Simulations in Support of Avalanche Forecasting Focusing on Critical Layers</t>
  </si>
  <si>
    <t>Spatially structured eco-evolutionary dynamics in a host-pathogen interaction render isolated populations vulnerable to disease</t>
  </si>
  <si>
    <t>10.1038/s41467-022-33665-3</t>
  </si>
  <si>
    <t>Let's practice what we preach: Planning and interpreting simulation studies with design and analysis of experiments</t>
  </si>
  <si>
    <t>WETMETH 1.0: A new wetland methane model for implementation in Earth system models</t>
  </si>
  <si>
    <t>10.5194/gmd-14-6215-2021</t>
  </si>
  <si>
    <t>The Relations between Systems of Oppression and Oral Care Access in the United States</t>
  </si>
  <si>
    <t>10.1029/2021GL094543</t>
  </si>
  <si>
    <t>The use of a scriptwriting task as a window into how prospective teachers envision teacher moves for supporting student reasoning</t>
  </si>
  <si>
    <t>10.1007/s12665-021-09728-x</t>
  </si>
  <si>
    <t>A Queuing Model for Ventilator Capacity Management during the COVID-19 Pandemic</t>
  </si>
  <si>
    <t>Resources Sharing in 5G Networks: Learning-Enabled Incentives and Coalitional Games</t>
  </si>
  <si>
    <t>10.1109/JSYST.2019.2958890</t>
  </si>
  <si>
    <t>A Doorway Detection and Direction (3Ds) System for Social Robots via a Monocular Camera</t>
  </si>
  <si>
    <t>A tractable method to account for high-dimensional nonignorable missing data in intensive longitudinal data</t>
  </si>
  <si>
    <t>10.1002/sim.8560</t>
  </si>
  <si>
    <t>iWood: Makeable Vibration Sensor for Interactive Plywood</t>
  </si>
  <si>
    <t>10.1080/10618600.2020.1713797</t>
  </si>
  <si>
    <t>Terahertz Power Divider Using Symmetric CPS Transmission Line on a Thin Membrane</t>
  </si>
  <si>
    <t>10.1016/j.nima.2020.163525</t>
  </si>
  <si>
    <t>Plant trait retrieval from hyperspectral data: Collective efforts in scientific data curation outperform simulated data derived from the PROSAIL model</t>
  </si>
  <si>
    <t>Estimating functional single index models with compact support</t>
  </si>
  <si>
    <t>SWIPT-Enabled Cooperative NOMA with mth Best Relay Selection</t>
  </si>
  <si>
    <t>10.1109/OJCOMS.2020.3038197</t>
  </si>
  <si>
    <t>Practical Diversity Design for PCB IoT Terminals</t>
  </si>
  <si>
    <t>A generalized Hosmer–Lemeshow goodness-of-fit test for a family of generalized linear models</t>
  </si>
  <si>
    <t>10.1007/s11749-023-00912-8</t>
  </si>
  <si>
    <t>Variable Window Size Moving Average Filter for Phase-Locked-Loop Synchronization</t>
  </si>
  <si>
    <t>Evaluating the clinical utility of artificial intelligence assistance and its explanation on the glioma grading task</t>
  </si>
  <si>
    <t>10.1016/j.artmed.2023.102751</t>
  </si>
  <si>
    <t>Search for Nova Presolar Grains: &lt;mml:math xmlns:mml="http://www.w3.org/1998/Math/MathML" display="inline"&gt;&lt;mml:mi&gt;Î³&lt;/mml:mi&gt;&lt;/mml:math&gt;-Ray Spectroscopy of &lt;mml:math xmlns:mml="http://www.w3.org/1998/Math/MathML" display="inline"&gt;&lt;mml:mrow&gt;&lt;mml:mmultiscripts&gt;&lt;mml:mrow&gt;&lt;mml:mi&gt;Ar&lt;/mml:mi&gt;&lt;/mml:mrow&gt;&lt;mml:mprescripts/&gt;&lt;mml:none/&gt;&lt;mml:mrow&gt;&lt;mml:mn&gt;34&lt;/mml:mn&gt;&lt;/mml:mrow&gt;&lt;/mml:mmultiscripts&gt;&lt;/mml:mrow&gt;&lt;/mml:math&gt; and its Relevance for the Astrophysical &lt;mml:math xmlns:mml="http://www.w3.org/1998/Math/MathML" display="inline"&gt;&lt;mml:mrow&gt;&lt;mml:mmultiscripts&gt;&lt;mml:mrow&gt;&lt;mml:mi&gt;Cl&lt;/mml:mi&gt;&lt;/mml:mrow&gt;&lt;mml:mprescripts/&gt;&lt;mml:none/&gt;&lt;mml:mrow&gt;&lt;mml:mn&gt;33&lt;/mml:mn&gt;&lt;/mml:mrow&gt;&lt;/mml:mmultiscripts&gt;&lt;mml:mo stretchy="false"&gt;(&lt;/mml:mo&gt;&lt;mml:mrow&gt;&lt;mml:mi&gt;p&lt;/mml:mi&gt;&lt;/mml:mrow&gt;&lt;mml:mo&gt;,&lt;/mml:mo&gt;&lt;mml:mi&gt;Î³&lt;/mml:mi&gt;&lt;mml:mo stretchy="false"&gt;)&lt;/mml:mo&gt;&lt;/mml:mrow&gt;&lt;/mml:math&gt; Reaction</t>
  </si>
  <si>
    <t>10.1109/CVPRW63382.2024.00708</t>
  </si>
  <si>
    <t>Efficiently finding poses for multiple grasp types with partial point clouds by uncoupling grasp shape and scale</t>
  </si>
  <si>
    <t>Comparative Study of a Decadentate Acyclic Chelate, HOPO-O10, and Its Octadentate Analogue, HOPO-O8, for Radiopharmaceutical Applications</t>
  </si>
  <si>
    <t>10.1021/acs.inorgchem.2c03671</t>
  </si>
  <si>
    <t>Nonlinear prediction of functional time series</t>
  </si>
  <si>
    <t>Efficient and Guaranteed Hamilton-Jacobi Reachability via Self-Contained Subsystem Decomposition and Admissible Control Sets</t>
  </si>
  <si>
    <t>10.1109/LCSYS.2023.3344659</t>
  </si>
  <si>
    <t>Error measurements for a quantum annealer using the one-dimensional Ising model with twisted boundaries</t>
  </si>
  <si>
    <t>10.1126/SCIADV.ADI8082</t>
  </si>
  <si>
    <t>Task-dependent recruitment across ankle extensor muscles and between mechanical demands is driven by the metabolic cost of muscle contraction</t>
  </si>
  <si>
    <t>Fluid-Driven Transport of Round Sediment Particles: From Discrete Simulations to Continuum Modeling</t>
  </si>
  <si>
    <t>10.1029/2021JF006504</t>
  </si>
  <si>
    <t>Quantifying land carbon cycle feedbacks under negative CO &lt;sub&gt;2&lt;/sub&gt; emissions</t>
  </si>
  <si>
    <t>10.3847/1538-4357/ac63ab</t>
  </si>
  <si>
    <t>Characterization of the Fels Landslide (Alaska) Using Combined Terrestrial, Aerial, and Satellite Remote Sensing Data</t>
  </si>
  <si>
    <t>Robust estimation and variable selection for function-on-scalar regression</t>
  </si>
  <si>
    <t>10.1002/cjs.11661</t>
  </si>
  <si>
    <t>Links between fluctuations in sockeye salmon abundance and riparian forest productivity identified by remote sensing</t>
  </si>
  <si>
    <t>Simulated Dynamics of Mixed Versus Uniform Grain Size Sediment Pulses in a Gravel-Bedded River</t>
  </si>
  <si>
    <t>10.1029/2021JF006194</t>
  </si>
  <si>
    <t>Simulation optimization in security screening systems subject to budget and waiting time constraints</t>
  </si>
  <si>
    <t>The energy of muscle contraction. IV. Greater mass of larger muscles decreases contraction efficiency</t>
  </si>
  <si>
    <t>10.1098/rsif.2021.0484</t>
  </si>
  <si>
    <t>High-resolution UAV-based blueberry scorch virus mapping utilizing a deep vision transformer algorithm</t>
  </si>
  <si>
    <t>Three-dimensional simulation of hydraulic fracture from a borehole using XSite; 基于XSite的钻孔起裂水力裂缝三维扩展研究</t>
  </si>
  <si>
    <t>10.11779/CJGE202108013</t>
  </si>
  <si>
    <t>CaloQVAE: Simulating high-energy particle-calorimeter interactions using hybrid quantum-classical generative models</t>
  </si>
  <si>
    <t>10.1109/TII.2020.3007614</t>
  </si>
  <si>
    <t>VEMPIC</t>
  </si>
  <si>
    <t>Using content-based image retrieval of dermoscopic images for interpretation and education: A pilot study</t>
  </si>
  <si>
    <t>10.1111/srt.12822</t>
  </si>
  <si>
    <t>Uncertainty quantification of a computer model for binary black hole formation</t>
  </si>
  <si>
    <t>Modeling and control of a multifunctional three-phase converter for bidirectional power flow in plug-in electric vehicles</t>
  </si>
  <si>
    <t>10.3390/en13102591</t>
  </si>
  <si>
    <t>Facilitated model-based reasoning in immersive virtual reality: Meaning-making and embodied interactions with dynamic processes</t>
  </si>
  <si>
    <t>Multiple constrained minimum variance beamformer (MCMV) performance in connectivity analyses</t>
  </si>
  <si>
    <t>10.1016/j.neuroimage.2019.116386</t>
  </si>
  <si>
    <t>Implementation of roughness and elastic-plastic behavior in a wheel-rail contact modeling for locomotive traction studies</t>
  </si>
  <si>
    <t>MobileGPT: Augmenting LLM with Human-like App Memory for Mobile Task Automation</t>
  </si>
  <si>
    <t>10.1145/3636534.3690682</t>
  </si>
  <si>
    <t>Design Strategies for Collaborative Learning in Tangible Tabletops: Positive Interdependence and Reflective Pauses</t>
  </si>
  <si>
    <t>10.1109/MCG.2024.3352349</t>
  </si>
  <si>
    <t>"\"I consider VR Table Tennis to be my secret weapon!\": An Analysis of the VR Table Tennis Players' Experiences Outside the Lab"</t>
  </si>
  <si>
    <t>An exploration of the relationship between wastewater viral signals and COVID-19 hospitalizations in Ottawa, Canada</t>
  </si>
  <si>
    <t>10.1016/j.idm.2023.05.011</t>
  </si>
  <si>
    <t>Data-driven modelling of operational district energy networks</t>
  </si>
  <si>
    <t>Interleaved Predictive Control and Planning for an Unmanned Aerial Manipulator with on-the-Fly Rapid Re-Planning in Unknown Environments</t>
  </si>
  <si>
    <t>10.1109/TASE.2022.3184458</t>
  </si>
  <si>
    <t>Practical Network Modeling Using Weak Supervision Signals for Human-Centric Networking in Metaverse</t>
  </si>
  <si>
    <t>10.1007/s13253-022-00495-1</t>
  </si>
  <si>
    <t>Analytical solution for heat and mass transfer in desiccant coated heat exchangers</t>
  </si>
  <si>
    <t>10.1007/s00170-021-08322-6</t>
  </si>
  <si>
    <t>A queuing model for ventilator capacity management during the COVID-19 pandemic</t>
  </si>
  <si>
    <t>10.1016/j.tranpol.2021.12.012</t>
  </si>
  <si>
    <t>The ACM Multimedia 2021 Meet Deadline Requirements Grand Challenge</t>
  </si>
  <si>
    <t>10.1016/j.insmatheco.2021.10.005</t>
  </si>
  <si>
    <t>Efficient Data Collection Scheme for IRS-Based V2I Backscatter Communications</t>
  </si>
  <si>
    <t>10.1177/09622802211037070</t>
  </si>
  <si>
    <t>Identification-robust nonparametric inference in a linear IV model</t>
  </si>
  <si>
    <t>The structural evolution of isolated galaxies at low redshift in the Illustris TNG simulation</t>
  </si>
  <si>
    <t>10.1093/mnras/stab840</t>
  </si>
  <si>
    <t>Wideband Antennas Using Coaxial Waveguide</t>
  </si>
  <si>
    <t>PEM Fuel Cells: Fundamentals, Advanced Technologies, and Practical Application</t>
  </si>
  <si>
    <t>10.1016/C2020-0-00143-X</t>
  </si>
  <si>
    <t>Unified Machine Learning Based Fault Detection Strategy Through Voltage-Sensing for Both AC and DC Side Faults in Photovoltaic Farms</t>
  </si>
  <si>
    <t>Integration of an energy– economy model with an urban energy model</t>
  </si>
  <si>
    <t>10.5334/bc.71</t>
  </si>
  <si>
    <t>A functional proportional hazard cure rate model for interval-censored data</t>
  </si>
  <si>
    <t>10.1109/SMC42975.2020.9283219</t>
  </si>
  <si>
    <t>Safe Coverage of Moving Domains for Vehicles With Second-Order Dynamics</t>
  </si>
  <si>
    <t>Hypercapnia augments resistive exercise-induced elevations in intraocular pressure in older individuals</t>
  </si>
  <si>
    <t>10.1113/EP088236</t>
  </si>
  <si>
    <t>Card-Based Approach to Engage Exploring Ethics in AI for Data Visualization</t>
  </si>
  <si>
    <t>10.1017/aog.2020.2</t>
  </si>
  <si>
    <t>Linear Time Stable PD Controllers for Physicsâ€based Character Animation</t>
  </si>
  <si>
    <t>Exploitation of Velocity Gradients by Sympatric Stream Salmonids: Basic Insights and Implications for Instream Flow Management</t>
  </si>
  <si>
    <t>10.1002/nafm.10411</t>
  </si>
  <si>
    <t>Timely and Accurate Bitrate Switching in HTTP Adaptive Streaming With Date-Driven I-Frame Prediction</t>
  </si>
  <si>
    <t>Using an AI creativity system to explore how aesthetic experiences are processed along the brain's perceptual neural pathways</t>
  </si>
  <si>
    <t>10.1016/j.cogsys.2019.09.012</t>
  </si>
  <si>
    <t>Optimising nurse schedules at a community health centre</t>
  </si>
  <si>
    <t>Robust stochastic optimal dispatching of integrated electricity-gas-heat system considering generation-network-load uncertainties</t>
  </si>
  <si>
    <t>10.1016/j.ijepes.2024.109868</t>
  </si>
  <si>
    <t>Assessing complier average causal effects from longitudinal trials with multiple endpoints and treatment noncompliance: An application to a study of Arthritis Health Journal</t>
  </si>
  <si>
    <t>10.1109/TIFS.2023.3327662</t>
  </si>
  <si>
    <t>Interactive Character Control with Auto-Regressive Motion Diffusion Models</t>
  </si>
  <si>
    <t>10.5194/nhess-24-2093-2024</t>
  </si>
  <si>
    <t>Experimental and computational comparison of freezeâ€“thaw-induced pressure generation in red and sugar maple</t>
  </si>
  <si>
    <t>New techniques for jet calibration with the ATLAS detector</t>
  </si>
  <si>
    <t>10.1140/epjc/s10052-023-11837-9</t>
  </si>
  <si>
    <t>Simulation of fuel cell membrane durability under vehicle operation</t>
  </si>
  <si>
    <t>10.1080/01621459.2021.1990766</t>
  </si>
  <si>
    <t>Cloning and Selfing Affect Population Genetic Variation in Simulations of Outcrossing, Sexual Sea Stars</t>
  </si>
  <si>
    <t>10.1007/s00477-022-02261-8</t>
  </si>
  <si>
    <t>Alterations in coordinated EEG activity precede the development of seizures in comatose children</t>
  </si>
  <si>
    <t>10.1140/epjs/s11734-022-00608-4</t>
  </si>
  <si>
    <t>CONVOLUTIONAL SVM NETWORKS FOR DETECTION OF &lt;i&gt;GANODERMA BONINENSE&lt;/i&gt; AT EARLY STAGE IN OIL PALM USING UAV AND MULTISPECTRAL PLEIADES IMAGES</t>
  </si>
  <si>
    <t>Efficient two-dimensional control of barrier crossing</t>
  </si>
  <si>
    <t>10.1209/0295-5075/ac765d</t>
  </si>
  <si>
    <t>Start-Up Creation</t>
  </si>
  <si>
    <t>A c/μ-Rule for Job Assignment in Heterogeneous Group-Server Queues</t>
  </si>
  <si>
    <t>10.1111/poms.13605</t>
  </si>
  <si>
    <t>Online thermal field prediction for metal additive manufacturing of thin walls</t>
  </si>
  <si>
    <t>Modelling discontinuity control on the development of Hell’s Mouth landslide</t>
  </si>
  <si>
    <t>10.1007/s10346-021-01813-3</t>
  </si>
  <si>
    <t>A data exploration tool for averaging and accessing large data sets of snow stratigraphy profiles useful for avalanche forecasting</t>
  </si>
  <si>
    <t>Effects of the Elevation Training Mask® 2.0 on dyspnea and respiratory muscle mechanics, electromyography, and fatigue during exhaustive cycling in healthy humans</t>
  </si>
  <si>
    <t>10.1016/j.jsams.2021.08.022</t>
  </si>
  <si>
    <t>Enhancing helmet pressure sensing with advanced 3D printed gyroid architectures</t>
  </si>
  <si>
    <t>Robust penalized M-estimation for function-on-function linear regression</t>
  </si>
  <si>
    <t>10.1002/sta4.390</t>
  </si>
  <si>
    <t>Improved representation of laminar and turbulent sheet flow in subglacial drainage models</t>
  </si>
  <si>
    <t>10.1108/HESWBL-08-2020-0182</t>
  </si>
  <si>
    <t>A Dimension Selection-Based Constrained Multi-Objective Optimization Algorithm Using a Combination of Artificial Intelligence Methods</t>
  </si>
  <si>
    <t>An Intrinsic Aggregation Model on the Special Orthogonal Group SO(3): Well-posedness and Collective Behaviours</t>
  </si>
  <si>
    <t>10.1007/s00332-021-09732-2</t>
  </si>
  <si>
    <t>Modelling the stand dynamics after a thinning induced partial mortality: A compensatory growth perspective</t>
  </si>
  <si>
    <t>Hypothalamus volume and DNA methylation of stress axis genes in major depressive disorder: A CAN-BIND study report</t>
  </si>
  <si>
    <t>10.1016/j.psyneuen.2021.105348</t>
  </si>
  <si>
    <t>Modeling and Analysis of SiC GTO Thyristorâ€™s Dynamic Turn-On Transient</t>
  </si>
  <si>
    <t>Development and biological evaluation of[18F]FMN3PA &amp; [18F]FMN3PU for leucine-rich repeat kinase 2 (LRRK2) in vivo PET imaging</t>
  </si>
  <si>
    <t>10.1016/j.ejmech.2020.113005</t>
  </si>
  <si>
    <t>Multicriteria analysis on rock moisture and streamflow in a rainfallâ€runoff model improves accuracy of model results</t>
  </si>
  <si>
    <t>Measurements of the production cross-section for a Z boson in association with b- or c-jets in proton–proton collisions at s=13 TeV with the ATLAS detector</t>
  </si>
  <si>
    <t>10.1140/epjc/s10052-024-13159-w</t>
  </si>
  <si>
    <t>Random forests for survival data: which methods work best and under what conditions?</t>
  </si>
  <si>
    <t>10.1145/3658140</t>
  </si>
  <si>
    <t>Evidence for Goldstone-like and Higgs-like structural modes in the model &lt;mml:math xmlns:mml="http://www.w3.org/1998/Math/MathML"&gt;&lt;mml:mrow&gt;&lt;mml:mi&gt;Pb&lt;/mml:mi&gt;&lt;mml:msub&gt;&lt;mml:mi&gt;Mg&lt;/mml:mi&gt;&lt;mml:mrow&gt;&lt;mml:mn&gt;1&lt;/mml:mn&gt;&lt;mml:mo&gt;/&lt;/mml:mo&gt;&lt;mml:mn&gt;3&lt;/mml:mn&gt;&lt;/mml:mrow&gt;&lt;/mml:msub&gt;&lt;mml:msub&gt;&lt;mml:mi&gt;Nb&lt;/mml:mi&gt;&lt;mml:mrow&gt;&lt;mml:mn&gt;2&lt;/mml:mn&gt;&lt;mml:mo&gt;/&lt;/mml:mo&gt;&lt;mml:mn&gt;3&lt;/mml:mn&gt;&lt;/mml:mrow&gt;&lt;/mml:msub&gt;&lt;mml:msub&gt;&lt;mml:mi mathvariant="normal"&gt;O&lt;/mml:mi&gt;&lt;mml:mn&gt;3&lt;/mml:mn&gt;&lt;/mml:msub&gt;&lt;/mml:mrow&gt;&lt;/mml:math&gt; relaxor ferroelectric</t>
  </si>
  <si>
    <t>10.1057/s42214-023-00177-w</t>
  </si>
  <si>
    <t>Modelling Crowd Dynamics and Crowd Management Strategies</t>
  </si>
  <si>
    <t>10.1145/3570361.3613296</t>
  </si>
  <si>
    <t>Bayesian hierarchical random-effects meta-analysis and design of phase I clinical trials</t>
  </si>
  <si>
    <t>10.1103/PhysRevD.108.063022</t>
  </si>
  <si>
    <t>Scalable Creditable-Committee-Based Blockchain Consensus Protocol for Multihop Wireless Networks</t>
  </si>
  <si>
    <t>10.1177/00220345231184181</t>
  </si>
  <si>
    <t>Synthesis-Distortion-Aware Hybrid Digital Analog Transmission for 3D Videos</t>
  </si>
  <si>
    <t>Economic impact of using risk models for eligibility selection to the International lung screening Trial</t>
  </si>
  <si>
    <t>10.1016/j.lungcan.2022.12.011</t>
  </si>
  <si>
    <t>Production of clean rare isotope beams at TRIUMF ion guide laser ion source</t>
  </si>
  <si>
    <t>Beyond the Eye: Multisensory Contributions to the Sensation of Illusory Self-Motion (Vection)</t>
  </si>
  <si>
    <t>10.1163/22134808-bja10112</t>
  </si>
  <si>
    <t>An Investigation of the Factors Controlling the Mechanical Behaviour of Slender Naturally Fractured Pillars</t>
  </si>
  <si>
    <t>10.1080/01621459.2021.1933496</t>
  </si>
  <si>
    <t>Women's sensitivity to threat in online dating and the (in)effectiveness of standard safety warnings</t>
  </si>
  <si>
    <t>Genion, an accurate tool to detect gene fusion from long transcriptomics reads</t>
  </si>
  <si>
    <t>10.1186/s12864-022-08339-5</t>
  </si>
  <si>
    <t>Could Glacial Retreat-Related Landslides Trigger Volcanic Eruptions? Insights from Mount Meager, British Columbia</t>
  </si>
  <si>
    <t>Emulating the impact of additional proton–proton interactions in the ATLAS simulation by presampling sets of inelastic Monte Carlo events</t>
  </si>
  <si>
    <t>10.1007/s41781-021-00062-2</t>
  </si>
  <si>
    <t>Improving Performance of Three-Phase MAF-PLL Under Asymmetrical DC-Offset Condition</t>
  </si>
  <si>
    <t>1.2-kV silicon carbide planar split-gate MOSFET with source field plate for superior figure-of-merits</t>
  </si>
  <si>
    <t>10.1049/pel2.12321</t>
  </si>
  <si>
    <t>Two-Step Adaptive Grouping Access Based on RSMA for Multibeam Satellite System</t>
  </si>
  <si>
    <t>10.1007/s11222-021-10066-y</t>
  </si>
  <si>
    <t>High Accuracy AUV-Aided Underwater Localization: Far-Field Information Fusion Perspective</t>
  </si>
  <si>
    <t>Yeti: Stateless and Generalized Multicast Forwarding</t>
  </si>
  <si>
    <t>Design and Optimization of Air-Core HTS Pulse Transformer for Series-Type Hybrid Circuit Breaker (S-HCB)</t>
  </si>
  <si>
    <t>10.1371/journal.pone.0259877</t>
  </si>
  <si>
    <t>The effect of Mg &lt;sup&gt;2+&lt;/sup&gt; on Ca &lt;sup&gt;2+&lt;/sup&gt; binding to cardiac troponin C in hypertrophic cardiomyopathy associated &lt;scp&gt; &lt;i&gt;TNNC1&lt;/i&gt; &lt;/scp&gt; variants</t>
  </si>
  <si>
    <t>10.1007/s42519-021-00217-9</t>
  </si>
  <si>
    <t>Recommendations for evaluating the performance of background subtraction algorithms for surveillance systems</t>
  </si>
  <si>
    <t>Electrophysiological characterization of the herg r56q lqts variant and targeted rescue by the activator rpr260243</t>
  </si>
  <si>
    <t>10.1085/jgp.202112923</t>
  </si>
  <si>
    <t>Real-Time Hamilton-Jacobi Reachability Analysis of Autonomous System With An FPGA</t>
  </si>
  <si>
    <t>10.1364/OE.421008</t>
  </si>
  <si>
    <t>A large-scale validation of snowpack simulations in support of avalanche forecasting focusing on critical layers</t>
  </si>
  <si>
    <t>10.1109/ICRAE53653.2021.9657767</t>
  </si>
  <si>
    <t>Knowledge transfer and retention of simulation-based learning for neurosurgical instruments: a randomised trial of perioperative nurses</t>
  </si>
  <si>
    <t>Geographical Correlation-Based Data Collection for Sensor-Augmented RFID Systems</t>
  </si>
  <si>
    <t>10.1109/TMC.2019.2923413</t>
  </si>
  <si>
    <t>UVic ESCM simulations of historical period, SSP1-2.6, SSP5-3.4-OS, and SSP5-8.5</t>
  </si>
  <si>
    <t>10.1016/j.jeconom.2020.04.017</t>
  </si>
  <si>
    <t>Climate change, mass casualty incidents, and emergency response in the Arctic</t>
  </si>
  <si>
    <t>A pilot randomized controlled trial of 7 versus 14 days of antibiotic treatment for bloodstream infection on non-intensive care versus intensive care wards</t>
  </si>
  <si>
    <t>10.1186/s13063-019-4033-9</t>
  </si>
  <si>
    <t>Wildfire, extreme precipitation and debris flows, oh my! Channel response to compounding disturbances in a mountain stream in the Upper Colorado Basin, USA</t>
  </si>
  <si>
    <t>A low-cost IoT-based deep learning method of water gauge measurement for flood monitoring</t>
  </si>
  <si>
    <t>10.1080/19475705.2024.2364777</t>
  </si>
  <si>
    <t>Liberating trails and travel routes in Gitxsan and Wet'suwet'en Territories from the tyrannies of heritage resource management regimes</t>
  </si>
  <si>
    <t>10.1109/TCOMM.2024.3418889</t>
  </si>
  <si>
    <t>Geomechanical characterisation and dynamic numerical modelling of two anthropogenic fill slopes</t>
  </si>
  <si>
    <t>10.1109/ACCESS.2024.3417179</t>
  </si>
  <si>
    <t>Evaluating Post-Wildfire Debris Flow Rainfall Thresholds and Volume Models at the 2020 Grizzly Creek Fire in Glenwood Canyon, Colorado, USA</t>
  </si>
  <si>
    <t>10.1109/LGRS.2024.3354560</t>
  </si>
  <si>
    <t>Machine Learning and Metaheuristics Algorithms, and Applications</t>
  </si>
  <si>
    <t>10.3390/rs16010117</t>
  </si>
  <si>
    <t>In vivo soft tissue compressive properties of the human hand</t>
  </si>
  <si>
    <t>I consider VR Table Tennis to be my secret weapon!\": An Analysis of the VR Table Tennis Players' Experiences Outside the Lab"</t>
  </si>
  <si>
    <t>10.1145/3607822.3614539</t>
  </si>
  <si>
    <t>Dual-Slot Cavity Antenna for mm-Wave Beamforming Array</t>
  </si>
  <si>
    <t>10.1002/env.2792</t>
  </si>
  <si>
    <t>Projecting multiclass global land-use and land-cover change using deep learning and spherical geographic automata model</t>
  </si>
  <si>
    <t>10.1007/s11412-023-09396-y</t>
  </si>
  <si>
    <t>Enabling geosimulations for global scale: Spherical geographic automata</t>
  </si>
  <si>
    <t>10.1002/env.2784</t>
  </si>
  <si>
    <t>mmWave Yagi-Uda Element and Array on Liquid Crystal Polymer for 5G</t>
  </si>
  <si>
    <t>A 7-segment numerical hand-glove/mitten model for predicting thermophysiological responses of the human hand in extremely cold conditions</t>
  </si>
  <si>
    <t>10.1016/j.compbiomed.2022.106351</t>
  </si>
  <si>
    <t>Modelling Global Deforestation Using Spherical Geographic Automata Approach</t>
  </si>
  <si>
    <t>BAYESIAN HIERARCHICAL RANDOM-EFFECTS META-ANALYSIS AND DESIGN OF PHASE I CLINICAL TRIALS</t>
  </si>
  <si>
    <t>10.1214/22-AOAS1600</t>
  </si>
  <si>
    <t>Security Performance Analysis of Single-User Downlink Communication Based on Double-RIS</t>
  </si>
  <si>
    <t>10.1002/cjs.11719</t>
  </si>
  <si>
    <t>Impact of electrostatic crosstalk on spin qubits in dense CMOS quantum dot arrays</t>
  </si>
  <si>
    <t>10.1007/s10514-022-10049-6</t>
  </si>
  <si>
    <t>IRS-Enabled Monostatic Backscatter MIMO Communication Design for V2I Networks</t>
  </si>
  <si>
    <t>VEMPIC: Particle-in-Polyhedron Fluid Simulation for Intricate Solid Boundaries</t>
  </si>
  <si>
    <t>10.1145/3528223.3530138</t>
  </si>
  <si>
    <t>Triple-clad W-type fiber mitigates multipath artifacts in multimodal optical coherence tomography</t>
  </si>
  <si>
    <t>Assessing options for cannabis law reform: A Multi-Criteria Decision Analysis (MCDA) with stakeholders in New Zealand</t>
  </si>
  <si>
    <t>10.1016/j.drugpo.2022.103712</t>
  </si>
  <si>
    <t>Incorporating hierarchical credibility theory into modelling of multi-country mortality rates</t>
  </si>
  <si>
    <t>10.1145/3532106.3533538</t>
  </si>
  <si>
    <t>Optimization of active blade pitching of a vertical axis wind turbine using analytical and CFD based metamodel</t>
  </si>
  <si>
    <t>Measurement of the energy response of the ATLAS calorimeter to charged pions from W±→ τ±(→ π±ντ) ντ events in Run 2 data</t>
  </si>
  <si>
    <t>10.1140/epjc/s10052-022-10117-2</t>
  </si>
  <si>
    <t>Multi-Agent Reach-Avoid Games: Two Attackers Versus One Defender and Mixed Integer Programming</t>
  </si>
  <si>
    <t>HIV Proviral Burden, Genetic Diversity, and Dynamics in Viremic Controllers Who Subsequently Initiated Suppressive Antiretroviral Therapy</t>
  </si>
  <si>
    <t>10.1128/mBio.02490-21</t>
  </si>
  <si>
    <t>HiLMa-Res: A General Hierarchical Framework via Residual RL for Combining Quadrupedal Locomotion and Manipulation</t>
  </si>
  <si>
    <t>10.1371/journal.pone.0261008</t>
  </si>
  <si>
    <t>Modelling dynamic ice-sheet boundaries and grounding line migration using the level set method</t>
  </si>
  <si>
    <t>Wideband antennas using coaxial waveguide</t>
  </si>
  <si>
    <t>10.1109/TAP.2021.3070121</t>
  </si>
  <si>
    <t>Map Comparison Methods for Threeâ€Dimensional Space and Time Voxel Data</t>
  </si>
  <si>
    <t>10.1016/j.orhc.2021.100308</t>
  </si>
  <si>
    <t>Kinematic evolution of kilometre-scale fold trains in surge-type glaciers explored with a numerical model</t>
  </si>
  <si>
    <t>Screening of high-efficiency and low-Toxicity antitumor active components in: Macleaya cordata seeds based on the competitive effect of drugs on double targets by a new laminar flow chip</t>
  </si>
  <si>
    <t>10.1039/d1an00754h</t>
  </si>
  <si>
    <t>Ecosystem management to reduce humanâ€“elephant conflict in Thailand</t>
  </si>
  <si>
    <t>10.1029/2020PA004075</t>
  </si>
  <si>
    <t>Toward Observation Based Least Restrictive Collision Avoidance Using Deep Meta Reinforcement Learning</t>
  </si>
  <si>
    <t>10.1021/acs.jpcb.1c02821</t>
  </si>
  <si>
    <t>Salt and surfactant coated filters with antiviral properties and low pressure drop for prospective SARS-CoV2 applications</t>
  </si>
  <si>
    <t>The cost-effectiveness of adding tomosynthesis to mammography-based breast cancer screening: an economic analysis</t>
  </si>
  <si>
    <t>10.9778/cmajo.20200154</t>
  </si>
  <si>
    <t>Secure Information Fusion using Local Posterior for Distributed Cyber-Physical Systems</t>
  </si>
  <si>
    <t>10.5194/gmd-14-239-2021</t>
  </si>
  <si>
    <t>Methods for Estimating Abundance and Associated Uncertainty from Passive Count Technologies</t>
  </si>
  <si>
    <t>Enhancing scientific discovery learning by just-in-time prompts in a simulation-assisted inquiry environment</t>
  </si>
  <si>
    <t>10.12973/EU-JER.10.2.989</t>
  </si>
  <si>
    <t>Kinematic Analysis of the 2020 Elliot Creek Landslide, British Columbia, Using Remote Sensing Data</t>
  </si>
  <si>
    <t>Cost-effectiveness of brentuximab vedotin in advanced stage Hodgkin’s lymphoma: a probabilistic analysis</t>
  </si>
  <si>
    <t>10.1186/s12885-020-07374-3</t>
  </si>
  <si>
    <t>Understanding the failure mechanisms of the 2017 Santa LucÃ­a landslide, Patagonian Andes, using remote sensing and 3D numerical modelling techniques</t>
  </si>
  <si>
    <t>Search for Nova Presolar Grains: γ -Ray Spectroscopy of Ar 34 and its Relevance for the Astrophysical Cl 33 (p,γ) Reaction</t>
  </si>
  <si>
    <t>10.1103/PhysRevLett.124.252702</t>
  </si>
  <si>
    <t>Simulation Model of a Multi-Hospital Critical Care Network</t>
  </si>
  <si>
    <t>10.1063/1.5139541</t>
  </si>
  <si>
    <t>e3SIM: epidemiological-ecological-evolutionary simulation framework for genomic epidemiology</t>
  </si>
  <si>
    <t>10.1109/OJAP.2020.3035196</t>
  </si>
  <si>
    <t>A scale-dependent analysis of the barotropic vorticity budget in a global ocean simulation</t>
  </si>
  <si>
    <t>A new mixed finite element method for the n-dimensional boussinesq problem with temperature-dependent viscosity</t>
  </si>
  <si>
    <t>10.3934/nhm.2020010</t>
  </si>
  <si>
    <t>Dissemination Science to Advance the Use of Simulation Modeling: Our Obligation Moving Forward</t>
  </si>
  <si>
    <t>10.1109/TASC.2024.3383813</t>
  </si>
  <si>
    <t>e-TransUNet: TransUNet provides a strong spatial transformation for precise deforestation mapping</t>
  </si>
  <si>
    <t>10.1007/s10857-023-09570-x</t>
  </si>
  <si>
    <t>Refugees of Conflict, Casualties of Conjecture: The Trojan Horse Theory of Terrorism and its Implications for Asylum</t>
  </si>
  <si>
    <t>10.1177/10468781231222969</t>
  </si>
  <si>
    <t>Uncovering stress fields and defects distributions in graphene using deep neural networks</t>
  </si>
  <si>
    <t>Dependency-Aware Joint Task Offloading and Resource Allocation in Heterogeneous Mobile Edge Computing</t>
  </si>
  <si>
    <t>10.1109/TWC.2024.3483658</t>
  </si>
  <si>
    <t>Cost, innovation, and emissions leakage from overlapping climate policy</t>
  </si>
  <si>
    <t>Multiuser Association and Localization Over Doubly Dispersive Multipath Channels for Integrated Sensing and Communications</t>
  </si>
  <si>
    <t>10.1109/JSAC.2024.3414627</t>
  </si>
  <si>
    <t>Integration of traditional and telematics data for efficient insurance claims prediction</t>
  </si>
  <si>
    <t>10.1038/s41467-023-40795-9</t>
  </si>
  <si>
    <t>On the development of an intelligent controller for neural networks: a type 2 fuzzy and chatter-free approach for variable-order fractional cases</t>
  </si>
  <si>
    <t>10.1115/1.4062548</t>
  </si>
  <si>
    <t>Is Knowledge Contagious? Diffusion of Violence-Risk-Reporting Practices Across Cliniciansâ€™ Professional Networks</t>
  </si>
  <si>
    <t>Quantifying land carbon cycle feedbacks under negative CO2emissions</t>
  </si>
  <si>
    <t>10.5194/bg-20-2283-2023</t>
  </si>
  <si>
    <t>Equilibria and energy minimizers for an interaction model on the hyperbolic space</t>
  </si>
  <si>
    <t>Three-dimensional numerical simulation of hydraulic fracture spatial steering; 水力压裂裂缝空间转向特征三维数值模拟研究</t>
  </si>
  <si>
    <t>10.13532/j.jmsce.cn10-1638/td.2023.03.004</t>
  </si>
  <si>
    <t>Compositional ordering in relaxor ferroelectric &lt;mml:math xmlns:mml="http://www.w3.org/1998/Math/MathML"&gt;&lt;mml:mrow&gt;&lt;mml:mi&gt;Pb&lt;/mml:mi&gt;&lt;mml:mrow&gt;&lt;mml:mo&gt;(&lt;/mml:mo&gt;&lt;mml:mi&gt;B&lt;/mml:mi&gt;&lt;mml:msup&gt;&lt;mml:mi&gt;B&lt;/mml:mi&gt;&lt;mml:mo&gt;â€²&lt;/mml:mo&gt;&lt;/mml:msup&gt;&lt;mml:mo&gt;)&lt;/mml:mo&gt;&lt;/mml:mrow&gt;&lt;mml:msub&gt;&lt;mml:mi mathvariant="normal"&gt;O&lt;/mml:mi&gt;&lt;mml:mn&gt;3&lt;/mml:mn&gt;&lt;/mml:msub&gt;&lt;/mml:mrow&gt;&lt;/mml:math&gt;: Nearest neighbor approach</t>
  </si>
  <si>
    <t>10.1016/j.applthermaleng.2022.119467</t>
  </si>
  <si>
    <t>Synchronization and Control of a Single-Phase Grid-Tied Inverter under Harmonic Distortion</t>
  </si>
  <si>
    <t>Improving Performance of Three-Phase MAF-PLL under Asymmetrical DC-Offset Condition</t>
  </si>
  <si>
    <t>10.1109/ACCESS.2023.3322430</t>
  </si>
  <si>
    <t>Process-agnostic design approaches to increase the performance of resonant sensors</t>
  </si>
  <si>
    <t>10.1109/TMM.2022.3165381</t>
  </si>
  <si>
    <t>InP-CRS: An Intra-Platoon Cooperative Resource Selection Scheme for C-V2X Networks</t>
  </si>
  <si>
    <t>Modeling and Analysis of SiC GTO Thyristor's Dynamic Turn-On Transient</t>
  </si>
  <si>
    <t>10.1109/TED.2022.3208218</t>
  </si>
  <si>
    <t>10.1145/3526113.3545640</t>
  </si>
  <si>
    <t>Simultaneous Sensor and Actuator Fault Reconstruction by Using a Sliding Mode Observer, Fuzzy Stability Analysis, and a Nonlinear Optimization Tool</t>
  </si>
  <si>
    <t>Optimal control with a strong harmonic trap</t>
  </si>
  <si>
    <t>10.1103/PhysRevE.106.L022103</t>
  </si>
  <si>
    <t>10.1109/TGRS.2021.3089131</t>
  </si>
  <si>
    <t>START: singleâ€toâ€double arm transition design for phase II clinical trials</t>
  </si>
  <si>
    <t>10.1145/3474085.3479229</t>
  </si>
  <si>
    <t>Physics-based approach to developing physical reservoir computers</t>
  </si>
  <si>
    <t>10.1002/nav.21976</t>
  </si>
  <si>
    <t>Investigation of Ammonia-Hydrogen Mixture as a Green Fuel for Jet Engines Using a Wave Reformer</t>
  </si>
  <si>
    <t>10.1002/rra.3803</t>
  </si>
  <si>
    <t>Impacts on population indices if scientific surveys are excluded from marine protected areas</t>
  </si>
  <si>
    <t>10.3389/fphys.2021.628819</t>
  </si>
  <si>
    <t>Improving Transportation Procurement in the Humanitarian Sector: A Data-driven Approach for Abnormally Low Bid Detection</t>
  </si>
  <si>
    <t>10.1111/poms.13293</t>
  </si>
  <si>
    <t>Quantifying the human influence on the intensity of extreme 1- and 5-day precipitation amounts at global, continental, and regional scales</t>
  </si>
  <si>
    <t>10.1103/PhysRevE.103.022140</t>
  </si>
  <si>
    <t>The Effect of Sediment Supply on Poolâ€Riffle Morphology</t>
  </si>
  <si>
    <t>Towards effective machine learning in medical imaging analysis: A novel approach and expert evaluation of high-grade glioma ‘ground truth’ simulation on MRI</t>
  </si>
  <si>
    <t>10.1016/j.ijmedinf.2020.104348</t>
  </si>
  <si>
    <t>Can You Trust Who You See? The Evolution of Socially Cued Anticipatory Plasticity</t>
  </si>
  <si>
    <t>The human impact of data bias and the digital agricultural revolution</t>
  </si>
  <si>
    <t>Estimating classification consistency of screening measures and quantifying the impact of measurement bias.</t>
  </si>
  <si>
    <t>Do females and males exhibit a similar sarcopenic response as a consequence of normoxic and hypoxic bed rest?</t>
  </si>
  <si>
    <t>10.1113/EP087834</t>
  </si>
  <si>
    <t>Absence of SO(4) quantum criticality in Dirac semimetals at two-loop order</t>
  </si>
  <si>
    <t>Linear Time Stable PD Controllers for Physics-based Character Animation</t>
  </si>
  <si>
    <t>10.1111/cgf.14113</t>
  </si>
  <si>
    <t>A Social Network Model of COVID-19</t>
  </si>
  <si>
    <t>Nuclide production cross sections from irradiation of thorium by 438 MeV protons and a comparison to fluka and geant4 simulations</t>
  </si>
  <si>
    <t>10.1103/PhysRevC.102.044613</t>
  </si>
  <si>
    <t>AutoATESÂ v2.0: Automated Avalanche Terrain Exposure Scale mapping</t>
  </si>
  <si>
    <t>A Geographic Network Automata Approach for Modeling Dynamic Ecological Systems</t>
  </si>
  <si>
    <t>10.1111/gean.12183</t>
  </si>
  <si>
    <t>10.1016/j.rsase.2024.101221</t>
  </si>
  <si>
    <t>Implementation of PID controller and enhanced red deer algorithm in optimal path planning of substation inspection robots</t>
  </si>
  <si>
    <t>10.1109/TVT.2024.3356532</t>
  </si>
  <si>
    <t>Remote Sensing and Geovisualization of Rock Slopes and Landslides</t>
  </si>
  <si>
    <t>10.1109/LWC.2024.3362930</t>
  </si>
  <si>
    <t>3D Simulation of Infinite Baffle Diffraction</t>
  </si>
  <si>
    <t>10.1109/JSAC.2023.3345391</t>
  </si>
  <si>
    <t>Safe Coverage of Compact Domains For Second Order Dynamical Systems</t>
  </si>
  <si>
    <t>10.1016/j.jmapro.2023.11.007</t>
  </si>
  <si>
    <t>Livestock Production, Greenhouse Gas Emissions, Air Pollution, and Grassland Conservation: Quasi-Natural Experimental Evidence</t>
  </si>
  <si>
    <t>10.1016/j.sna.2023.114728</t>
  </si>
  <si>
    <t>Quantifying contact patterns: development and characteristics of the British Columbia COVID-19 population mixing patterns survey (BC-Mix)</t>
  </si>
  <si>
    <t>Spatial modeling of Mycobacterium tuberculosis transmission with dyadic genetic relatedness data</t>
  </si>
  <si>
    <t>10.1111/biom.13836</t>
  </si>
  <si>
    <t>Towards a Multimodal and Context-Aware Framework for Human Navigational Intent Inference</t>
  </si>
  <si>
    <t>10.1109/LCOMM.2023.3315010</t>
  </si>
  <si>
    <t>Multi-Robot Connected Fermat Spiral Coverage</t>
  </si>
  <si>
    <t>10.1007/s10729-023-09632-9</t>
  </si>
  <si>
    <t>Advanced Modelling and Performance Evaluation of Hydrogen-Powered Heavy Haul Locomotive</t>
  </si>
  <si>
    <t>CONVOLUTIONAL SVM NETWORKS FOR DETECTION OF GANODERMA BONINENSE AT EARLY STAGE IN OIL PALM USING UAV AND MULTISPECTRAL PLEIADES IMAGES</t>
  </si>
  <si>
    <t>10.5194/isprs-annals-X-4-W1-2022-25-2023</t>
  </si>
  <si>
    <t>An empirical investigation of director selection in movie preproduction: A two-sided matching approach</t>
  </si>
  <si>
    <t>MicroFluID - A Multi-Chip RFID Tag for Interaction Sensing Based on Microfluidic Switches</t>
  </si>
  <si>
    <t>10.1145/3550296</t>
  </si>
  <si>
    <t>Electromagnetic Loop Sensor</t>
  </si>
  <si>
    <t>The role of information in a continuous double auction: An experiment and learning model: The Role of Information in CDA</t>
  </si>
  <si>
    <t>10.1016/j.jedc.2022.104387</t>
  </si>
  <si>
    <t>Image metric-based multi-observation single-step deep deterministic policy gradient for sensorless adaptive optics</t>
  </si>
  <si>
    <t>10.2514/6.2022-2048</t>
  </si>
  <si>
    <t>Transuranium isotopes at ISAC/TRIUMF</t>
  </si>
  <si>
    <t>Small parsimony for natural genomes in the DCJ-indel model</t>
  </si>
  <si>
    <t>10.1142/S0219720021400096</t>
  </si>
  <si>
    <t>Long-Time Behaviour of Interaction Models on Riemannian Manifolds with Bounded Curvature</t>
  </si>
  <si>
    <t>10.1086/717293</t>
  </si>
  <si>
    <t>Improving nonstoquastic quantum annealing with spin-reversal transformations</t>
  </si>
  <si>
    <t>Building and experimenting with an agent-based model to study the population-level impact of CommunityRx, a clinic-based community resource referral intervention</t>
  </si>
  <si>
    <t>10.1371/journal.pcbi.1009471</t>
  </si>
  <si>
    <t>Soft Bionic Sensors and Actuators</t>
  </si>
  <si>
    <t>10.1016/j.bpj.2021.05.011</t>
  </si>
  <si>
    <t>A Joint estimation approach to sparse additive ordinary differential equations</t>
  </si>
  <si>
    <t>10.1089/cmb.2020.0375</t>
  </si>
  <si>
    <t>Integration of Traditional and Telematics Data for Efficient Insurance Claims Prediction</t>
  </si>
  <si>
    <t>10.1093/iwc/iwab026</t>
  </si>
  <si>
    <t>Subchannel Assignment and Power Optimization in Caching based UAV Networks With NOMA</t>
  </si>
  <si>
    <t>10.1016/j.tsep.2020.100802</t>
  </si>
  <si>
    <t>Performance analysis of highâ€power threeâ€phase current source inverters in photovoltaic applications</t>
  </si>
  <si>
    <t>Exploring New Models for Cardiovascular Risk Reduction: The Heart Outcomes Prevention and Evaluation 4 (HOPE 4) Canada Pilot Study</t>
  </si>
  <si>
    <t>10.1016/j.cjco.2020.10.006</t>
  </si>
  <si>
    <t>IRS-Enabled Secure Backscatter Communication Design for V2I MIMO Networks</t>
  </si>
  <si>
    <t>Compositional ordering in relaxor ferroelectric Pb(BB′) O3: Nearest neighbor approach</t>
  </si>
  <si>
    <t>10.1103/PhysRevB.103.054201</t>
  </si>
  <si>
    <t>Functional Nonlinear Learning</t>
  </si>
  <si>
    <t>Real-Time Hamilton-Jacobi Reachability Analysis of Autonomous System with An FPGA</t>
  </si>
  <si>
    <t>10.1109/IROS51168.2021.9636410</t>
  </si>
  <si>
    <t>Partially linear models with endogeneity: a conditional moment-based approach</t>
  </si>
  <si>
    <t>Evidence for Goldstone-like and Higgs-like structural modes in the model PbMg1/3Nb2/3 O3 relaxor ferroelectric</t>
  </si>
  <si>
    <t>10.1103/PhysRevB.102.104110</t>
  </si>
  <si>
    <t>Dynamic prediction with timeâ€dependent marker in survival analysis using supervised functional principal component analysis</t>
  </si>
  <si>
    <t>Multiple event times in the presence of informative censoring: modeling and analysis by copulas</t>
  </si>
  <si>
    <t>10.1007/s10985-019-09490-0</t>
  </si>
  <si>
    <t>Analysis of Avoided Level Crossing Muon Spin Resonance Spectra of Muoniated Radicals in Anisotropic Environments: Estimation of Muon Dipolar Hyperfine Parameters for Lorentzian-like Î”1 Resonances</t>
  </si>
  <si>
    <t>Recognizing and Tracking High-Level, Human-Meaningful Navigation Features of Occupancy Grid Maps</t>
  </si>
  <si>
    <t>10.1109/CRV50864.2020.00017</t>
  </si>
  <si>
    <t>Enhanced Coverage in the Shadow Region Using Dipole Scatterers at the Corner</t>
  </si>
  <si>
    <t>A doorway detection and direction (3ds) system for social robots via a monocular camera</t>
  </si>
  <si>
    <t>10.3390/s20092477</t>
  </si>
  <si>
    <t>A switching state-space transmission model for tracking epidemics and assessing interventions</t>
  </si>
  <si>
    <t>10.1016/j.insmatheco.2020.01.001</t>
  </si>
  <si>
    <t>Polynomial Phylogenetic Analysis of Tree Shapes</t>
  </si>
  <si>
    <t>10.1109/ACCESS.2020.3040986</t>
  </si>
  <si>
    <t>Numerical investigation of hydraulic fracture propagation in naturally fractured reservoirs based on lattice spring model</t>
  </si>
  <si>
    <t>10.1155/2020/8845990</t>
  </si>
  <si>
    <t>Symbolic Synthesis of Clifford Circuits and Beyond</t>
  </si>
  <si>
    <t>10.1109/ACCESS.2020.2990198</t>
  </si>
  <si>
    <t>10.1016/j.eneco.2024.107949</t>
  </si>
  <si>
    <t>Density-Dependent Selection during Range Expansion Affects Expansion Load in Life History Traits</t>
  </si>
  <si>
    <t>10.1016/j.jpowsour.2024.234855</t>
  </si>
  <si>
    <t>Statistics to prioritize rare variants in family-based sequencing studies with disease subtypes</t>
  </si>
  <si>
    <t>10.5194/nhess-24-2727-2024</t>
  </si>
  <si>
    <t>Pre-Coded Inter-Satellite Routing Algorithm with Load Balancing for Mega-Constellation Networks</t>
  </si>
  <si>
    <t>Fuzzy logic-based variable impedance control for a bilateral teleoperation system under time delay</t>
  </si>
  <si>
    <t>10.22059/jcamech.2024.369060.914</t>
  </si>
  <si>
    <t>Novel adaptive robust L&lt;sub&gt;1&lt;/sub&gt;â€based controllers for teleoperation systems with uncertainties and time delays</t>
  </si>
  <si>
    <t>Experimental and computational comparison of freeze-thaw-induced pressure generation in red and sugar maple</t>
  </si>
  <si>
    <t>10.1093/treephys/tpae006</t>
  </si>
  <si>
    <t>Presence-only fisheries bycatch data produce biased species distribution predictions for Alcyonacean corals on British Columbiaâ€™s continental shelf and slope</t>
  </si>
  <si>
    <t>Performance and calibration of quark/gluon-jet taggers using 140 fb−1 of pp collisions at √s = 13 TeV with the ATLAS detector</t>
  </si>
  <si>
    <t>10.1088/1674-1137/acf701</t>
  </si>
  <si>
    <t>Numerical Study of Methane Pyrolysis Inside a Single-Channel Shock Wave Reformer</t>
  </si>
  <si>
    <t>Horus: Granular In-Network Task Scheduler for Cloud Datacenters</t>
  </si>
  <si>
    <t>Predicting Long Pendant Edges in Model Phylogenies, with Applications to Biodiversity and Tree Inference</t>
  </si>
  <si>
    <t>10.1109/TSP.2024.3378376</t>
  </si>
  <si>
    <t>A C-V2X Mode 4 and 802.11p-Based Resource Selection Scheme for Intraplatoon Message Delivery</t>
  </si>
  <si>
    <t>10.1017/jog.2023.103</t>
  </si>
  <si>
    <t>Proteinâ€“Ligand Binding and Structural Modelling Studies of Pheromone-Binding Protein-like Sol g 2.1 from Solenopsis geminata Fire Ant Venom</t>
  </si>
  <si>
    <t>10.1016/j.wear.2023.205115</t>
  </si>
  <si>
    <t>A fine-scale marine mammal movement model for assessing long-term aggregate noise exposure</t>
  </si>
  <si>
    <t>10.3390/rs15153702</t>
  </si>
  <si>
    <t>Subspace based Multiple Constrained Minimum Variance (SMCMV) beamformers</t>
  </si>
  <si>
    <t>Cost-effectiveness of flexible take-home buprenorphine-naloxone versus methadone for treatment of prescription-type opioid use disorder</t>
  </si>
  <si>
    <t>10.1016/j.drugalcdep.2023.109893</t>
  </si>
  <si>
    <t>Why iPlay: The Relationships of Autistic and Schizotypal Traits With Patterns of Video Game Use</t>
  </si>
  <si>
    <t>10.1007/s10708-022-10776-4</t>
  </si>
  <si>
    <t>Dynamics and local environment of an aromatic counterion bound to di-chain cationic surfactant bilayers studied by avoided level crossing muon spin resonance: evidence for counterion condensation</t>
  </si>
  <si>
    <t>Byte-Pair Encoding for Classifying Routine Clinical Electroencephalograms in Adults Over the Lifespan</t>
  </si>
  <si>
    <t>10.1109/JBHI.2023.3236264</t>
  </si>
  <si>
    <t>On Fast and Reliable Missing Event Detection Protocol for Multitagged RFID Systems</t>
  </si>
  <si>
    <t>Enhancing Cyber Defense: Using Machine Learning Algorithms for Detection of Network Anomalies</t>
  </si>
  <si>
    <t>10.1109/SMC53992.2023.10394572</t>
  </si>
  <si>
    <t>Near-optimal learning of Banach-valued, high-dimensional functions via deep neural networks</t>
  </si>
  <si>
    <t>10.1109/CDC49753.2023.10383438</t>
  </si>
  <si>
    <t>ARumenamides: A novel class of potential antiarrhythmic compounds</t>
  </si>
  <si>
    <t>Deep Echo State Networks for Detecting Internet Worm and Ransomware Attacks</t>
  </si>
  <si>
    <t>10.1109/ISCAS46773.2023.10182056</t>
  </si>
  <si>
    <t>Co-Designing Programmable Fidgeting Experience with Swarm Robots for Adults with ADHD</t>
  </si>
  <si>
    <t>A Systematic Review of Kidney Transplantation Decision Modelling Studies</t>
  </si>
  <si>
    <t>10.1007/s40258-022-00744-x</t>
  </si>
  <si>
    <t>Arms Control in Outer Space: A Diplomatic Alternative to Star Wars</t>
  </si>
  <si>
    <t>Safe Coverage of Moving Domains for Vehicles with Second-Order Dynamics</t>
  </si>
  <si>
    <t>10.1109/TAC.2022.3140260</t>
  </si>
  <si>
    <t>Pragmatic Augmentation Algorithms for Deep Learning-Based Cloud and Cloud Shadow Detection in Remote Sensing Imagery</t>
  </si>
  <si>
    <t>Glycoside Hydrolase Catalysis: Do Substrates and Mechanism-Based Covalent Inhibitors React via Matching Transition States?</t>
  </si>
  <si>
    <t>10.1021/acscatal.2c04027</t>
  </si>
  <si>
    <t>Large Batch Simulation for Deep Reinforcement Learning</t>
  </si>
  <si>
    <t>M2HepPrEP: study protocol for a multi-site multi-setting randomized controlled trial of integrated HIV prevention and HCV care for PWID</t>
  </si>
  <si>
    <t>10.1186/s13063-022-06085-3</t>
  </si>
  <si>
    <t>Agent-based simulation and child protection systems: Rationale, implementation, and verification</t>
  </si>
  <si>
    <t>10.5194/tc-16-3149-2022</t>
  </si>
  <si>
    <t>Bayesian calibration of simulation models: A tutorial and an Australian smoking behaviour model</t>
  </si>
  <si>
    <t>10.1016/j.jsg.2022.104644</t>
  </si>
  <si>
    <t>Testing Various Riot Control Police Formations through Agent-Based Modeling and Simulation</t>
  </si>
  <si>
    <t>10.3389/feart.2022.916069</t>
  </si>
  <si>
    <t>Fluid-driven transport of round sediment particles: from discrete simulations to continuum modeling</t>
  </si>
  <si>
    <t>Detecting Compensatory Growth in Silviculture Trials: Empirical Evidence From Three Case Studies Across Canada</t>
  </si>
  <si>
    <t>10.3389/fpls.2022.907598</t>
  </si>
  <si>
    <t>Explanatory inferencing in simulation-based discovery learning: sequence analysis using the edit distance median string</t>
  </si>
  <si>
    <t>The impact of syringe services program closure on the risk of rebound HIV outbreaks among people who inject drugs: A modeling study</t>
  </si>
  <si>
    <t>10.1097/QAD.0000000000003199</t>
  </si>
  <si>
    <t>Exploring the flow evolution of the Chamoli event (Uttarakhand, India) of 7 February 2021: From geomorphological mapping to multi-model computer simulations</t>
  </si>
  <si>
    <t>SMOOTHING PROCEDURES FOR DETAILED WHEEL/RAIL GEOMETRY PROCESSING</t>
  </si>
  <si>
    <t>Impact forces in backward falls: Subject-specific video-based rigid body simulation of backward falls</t>
  </si>
  <si>
    <t>10.1109/ACCESS.2022.3202925</t>
  </si>
  <si>
    <t>Effective stiffness, damping and mass of the body during laboratory simulations of shoulder checks in ice hockey</t>
  </si>
  <si>
    <t>UNCERTAINTY QUANTIFICATION OF A COMPUTER MODEL FOR BINARY BLACK HOLE FORMATION</t>
  </si>
  <si>
    <t>10.1214/21-AOAS1484</t>
  </si>
  <si>
    <t>Comparison of machine learning methods for estimating case fatality ratios: An Ebola outbreak simulation study</t>
  </si>
  <si>
    <t>Assessment of a symmetry-preserving JFNK method for atmospheric convection</t>
  </si>
  <si>
    <t>10.1016/j.cpc.2021.108113</t>
  </si>
  <si>
    <t>Assessing the Impacts of Species Composition on the Accuracy of Mapping Chlorophyll Content in Heterogeneous Ecosystems</t>
  </si>
  <si>
    <t>Event related potential signal capture can be enhanced through dynamic snr-weighted channel pooling</t>
  </si>
  <si>
    <t>10.3390/s21217258</t>
  </si>
  <si>
    <t>Sensing Robots: New Frontiers in 3D Structural Sensing Robots (Adv. Mater. 19/2021)</t>
  </si>
  <si>
    <t>Measurements of sensor radiation damage in the ATLAS inner detector using leakage currents</t>
  </si>
  <si>
    <t>10.1088/1748-0221/16/08/P08025</t>
  </si>
  <si>
    <t>Matthews Correlation Coefficient Loss For Deep Convolutional Networks: Application To Skin Lesion Segmentation</t>
  </si>
  <si>
    <t>10.1002/ecs2.3699</t>
  </si>
  <si>
    <t>An Audio-Based SLAM for Indoor Environments: A Robotic Mixed Reality Presentation</t>
  </si>
  <si>
    <t>Pair-based likelihood approximations for stochastic epidemic models</t>
  </si>
  <si>
    <t>10.1093/biostatistics/kxz053</t>
  </si>
  <si>
    <t>Enabling hyperspectral imaging in diverse illumination conditions for indoor applications</t>
  </si>
  <si>
    <t>The Kwakshua Watersheds Observatory, central coast of British Columbia, Canada</t>
  </si>
  <si>
    <t>10.1002/hyp.14198</t>
  </si>
  <si>
    <t>High-resolution mapping of Blueberry scorch virus incidence using RGB and multispectral UAV images and deep learning</t>
  </si>
  <si>
    <t>10.1037/pas0000938</t>
  </si>
  <si>
    <t>HSIFormer: An Efficient Vision Transformer Framework for Enhanced Hyperspectral Image Classification Using Local Window Attention</t>
  </si>
  <si>
    <t>10.1242/jeb.228221</t>
  </si>
  <si>
    <t>The securitization of foreign disinformation</t>
  </si>
  <si>
    <t>10.1109/IEMCON53756.2021.9623214</t>
  </si>
  <si>
    <t>A protocol for model intercomparison of impacts of Marine Cloud Brightening Climate Intervention</t>
  </si>
  <si>
    <t>Task-dependent recruitment across ankle extensor muscles and between mechanical demands is driven by the metabolic cost of muscle contraction: Task-dependent recruitment across ankle extensor muscles and between mechanical demands is driven by the metabolic cost of muscle contraction</t>
  </si>
  <si>
    <t>10.1098/rsif.2020.0765</t>
  </si>
  <si>
    <t>CaloQVAE : Simulating high-energy particle-calorimeter interactions using hybrid quantum-classical generative models</t>
  </si>
  <si>
    <t>10.1007/s11042-020-09838-x</t>
  </si>
  <si>
    <t>The aetiology of spaceflightâ€associated neuroâ€ocular syndrome might be explained by a neural mechanism regulating intraocular pressure</t>
  </si>
  <si>
    <t>10.1007/s10751-020-1704-6</t>
  </si>
  <si>
    <t>Quantum transport in oxidized Ni nanocontacts under mechanical strain</t>
  </si>
  <si>
    <t>10.1007/s00603-020-02203-2</t>
  </si>
  <si>
    <t>Energy landscape of noncollinear exchange coupled magnetic multilayers</t>
  </si>
  <si>
    <t>Bühlmann Credibility-Based Approaches to Modeling Mortality Rates for Multiple Populations</t>
  </si>
  <si>
    <t>10.1080/10920277.2019.1614463</t>
  </si>
  <si>
    <t>Cofactor Dynamics Couples the Protein Surface to the Heme in Cytochrome &lt;i&gt;c&lt;/i&gt;, Facilitating Electron Transfer</t>
  </si>
  <si>
    <t>Equilibria of an aggregation model with linear diffusion in domains with boundaries</t>
  </si>
  <si>
    <t>10.1142/S0218202520400059</t>
  </si>
  <si>
    <t>RFBzero: A Python package for zero-dimensionalsimulation of redox flow battery cycling</t>
  </si>
  <si>
    <t>10.1140/epjc/s10052-024-13576-x</t>
  </si>
  <si>
    <t>A Maximum Entropy Method for the Prediction of Size Distributions</t>
  </si>
  <si>
    <t>The Generalized c/m Rule for Queues with Heterogeneous Server Pools</t>
  </si>
  <si>
    <t>10.1287/opre.2023.2472</t>
  </si>
  <si>
    <t>Simple Dipole Scatter for Filling a Shadow Region</t>
  </si>
  <si>
    <t>10.1002/esp.5942</t>
  </si>
  <si>
    <t>Assessing Classifier Fairness withÂ Collider Bias</t>
  </si>
  <si>
    <t>Economic Evaluation of Population-Based BRCA1 and BRCA2 Testing in Canada</t>
  </si>
  <si>
    <t>10.1001/jamanetworkopen.2024.32725</t>
  </si>
  <si>
    <t>Charge glass in an extended dimer Hubbard model</t>
  </si>
  <si>
    <t>10.1364/BOE.528579</t>
  </si>
  <si>
    <t>Viewpoint Selection for DermDrone using Deep Reinforcement Learning</t>
  </si>
  <si>
    <t>10.1002/rob.22332</t>
  </si>
  <si>
    <t>Equation balance in time series analysis: lessons learned and lessons needed</t>
  </si>
  <si>
    <t>Freedom of speech or freedom of reach? Strategies for mitigating malicious content in social networks</t>
  </si>
  <si>
    <t>10.1016/j.dss.2024.114235</t>
  </si>
  <si>
    <t>Analysis and Design of an Isolated Converter with Embedded EIS Function for Fuel Cell Stack Considering Low-Frequency Oscillations</t>
  </si>
  <si>
    <t>AutoATES v2.0: Automated Avalanche Terrain Exposure Scale mapping</t>
  </si>
  <si>
    <t>10.5194/nhess-24-1779-2024</t>
  </si>
  <si>
    <t>Coâ€evolution of dormancy and dispersal in spatially autocorrelated landscapes</t>
  </si>
  <si>
    <t>Lead/Lag directionality is not generally equivalent to causality in nonlinear systems: Comparison of phase slope index and conditional mutual information</t>
  </si>
  <si>
    <t>10.1016/j.neuroimage.2024.120610</t>
  </si>
  <si>
    <t>MDC-NOMA: Multiple Description Coding-Based Nonorthogonal Multiple Access for Image Transmission</t>
  </si>
  <si>
    <t>10.1109/ICDCM60322.2024.10664829</t>
  </si>
  <si>
    <t>Galvanic Skin Response and AE-LSTM for Anomaly Detection in VR-Induced Motion Sickness</t>
  </si>
  <si>
    <t>10.1109/TVT.2024.3447908</t>
  </si>
  <si>
    <t>Resonant and nonresonant spin filtering in bismuthene-silicon cowrie shell-like nanostructures</t>
  </si>
  <si>
    <t>10.1109/JIOT.2024.3429517</t>
  </si>
  <si>
    <t>Surface and optical properties of phase-pure silver iodobismuthate nanocrystals</t>
  </si>
  <si>
    <t>10.34133/space.0103</t>
  </si>
  <si>
    <t>Stopping Time Detection of Wood Panel Compression: A Functional Time-Series Approach</t>
  </si>
  <si>
    <t>10.1109/JIOT.2024.3393927</t>
  </si>
  <si>
    <t>Fracture dynamics of correlated percolation on ionomer networks</t>
  </si>
  <si>
    <t>10.1103/PhysRevB.108.245130</t>
  </si>
  <si>
    <t>NOMA-Based User Cooperation With Incremental Hybrid Forwarding Protocols</t>
  </si>
  <si>
    <t>The Effect of Sediment Supply on Pool-Riffle Morphology</t>
  </si>
  <si>
    <t>10.1029/2023WR035983</t>
  </si>
  <si>
    <t>A Majority-based Approximate Adder for FPGAs</t>
  </si>
  <si>
    <t>Performance improvement of the linear muskingum flood routing model using optimization algorithms and data assimilation approaches</t>
  </si>
  <si>
    <t>10.1007/s11069-023-06113-8</t>
  </si>
  <si>
    <t>MicroFluID</t>
  </si>
  <si>
    <t>10.3390/ijgi12080306</t>
  </si>
  <si>
    <t>Surrogate-Assisted Differential Evolution Using Knowledge-Transfer-Based Sampling for Expensive Optimization Problems</t>
  </si>
  <si>
    <t>Assessment of Drug–Drug Interaction Risk Between Intravenous Fentanyl and the Glecaprevir/Pibrentasvir Combination Regimen in Hepatitis C Patients Using Physiologically Based Pharmacokinetic Modeling and Simulations</t>
  </si>
  <si>
    <t>10.1007/s40121-023-00830-0</t>
  </si>
  <si>
    <t>Measurements of Zγ+jets differential cross sections in pp collisions at √s = 13 TeV with the ATLAS detector</t>
  </si>
  <si>
    <t>10.1007/JHEP07(2023)072</t>
  </si>
  <si>
    <t>Comparison of staircase and asymmetrical beforeâ€“after, controlâ€“impact (aBACI) experimental designs to test the effectiveness of stream restoration at increasing juvenile steelhead density</t>
  </si>
  <si>
    <t>10.1007/s10704-023-00704-z</t>
  </si>
  <si>
    <t>Enhancing Leg Odometry in Legged Robots with Learned Contact Bias: An LSTM Recurrent Neural Network Approach</t>
  </si>
  <si>
    <t>The Testing Imperative: Why the US Ending the Human Immunodeficiency Virus (HIV) Epidemic Program Needs to Renew Efforts to Expand HIV Testing in Clinical and Community-Based Settings</t>
  </si>
  <si>
    <t>10.1093/cid/ciad103</t>
  </si>
  <si>
    <t>Dynamic Survival Prediction Using Sparse Longitudinal Images via Multi-Dimensional Functional Principal Component Analysis</t>
  </si>
  <si>
    <t>10.1111/tgis.13054</t>
  </si>
  <si>
    <t>Sparse estimation of historical functional linear models with a nested group bridge approach</t>
  </si>
  <si>
    <t>10.3390/electronics12040860</t>
  </si>
  <si>
    <t>Dynamical modeling for non-Gaussian data with high-dimensional sparse ordinary differential equations</t>
  </si>
  <si>
    <t>New approaches to quantify progressive damage and associated dynamic rock mass blockiness</t>
  </si>
  <si>
    <t>10.1016/j.jrmge.2022.07.011</t>
  </si>
  <si>
    <t>Improved weak lensing photometric redshift calibration via StratLearn and hierarchical modelling</t>
  </si>
  <si>
    <t>10.1364/OE.476768</t>
  </si>
  <si>
    <t>Online estimation and community detection of network point processes for event streams</t>
  </si>
  <si>
    <t>Iterative Uncertainty Calibration for Modeling Metal Additive Manufacturing Processes Using Statistical Moment-Based Metric</t>
  </si>
  <si>
    <t>10.1115/1.4055149</t>
  </si>
  <si>
    <t>Comparative review of novel modelâ€assisted designs for phase I/II clinical trials</t>
  </si>
  <si>
    <t>10.3389/fpls.2022.1044637</t>
  </si>
  <si>
    <t>Efficiency-Driven Supervised Learning Regressors in Power Modeling and Optimization of Vertical Axis Wind Turbines</t>
  </si>
  <si>
    <t>The effect of Mg2+ on Ca2+ binding to cardiac troponin C in hypertrophic cardiomyopathy associated TNNC1 variants</t>
  </si>
  <si>
    <t>10.1111/febs.16578</t>
  </si>
  <si>
    <t>Self-assembled Epitaxial Ferroelectric Oxide Nano-spring with Super-scalability</t>
  </si>
  <si>
    <t>10.1038/s41598-022-15203-9</t>
  </si>
  <si>
    <t>Taking a BREATH (Bayesian Reconstruction and Evolutionary Analysis of Transmission Histories) to simultaneously infer phylogenetic and transmission trees for partially sampled outbreaks</t>
  </si>
  <si>
    <t>10.1038/s41534-022-00580-w</t>
  </si>
  <si>
    <t>SERI: High-Throughput Streaming Acceleration of Electron Repulsion Integral Computation in Quantum Chemistry using HBM-based FPGAs</t>
  </si>
  <si>
    <t>Response of a large deep-seated gravitational slope deformation to meteorological, seismic, and deglaciation drivers as measured by InSAR</t>
  </si>
  <si>
    <t>10.3389/feart.2022.918901</t>
  </si>
  <si>
    <t>COVID-19 endgame: from pandemic to endemic? Vaccination, reopening and evolution in a well-vaccinated population</t>
  </si>
  <si>
    <t>Bioaccumulation Screening of Neutral Hydrophobic Organic Chemicals in Air-Breathing Organisms Using In Vitro Rat Liver S9 Biotransformation Assays</t>
  </si>
  <si>
    <t>10.1002/etc.5439</t>
  </si>
  <si>
    <t>Distributed Massive MIMO With Low Resolution ADCs for Massive Random Access</t>
  </si>
  <si>
    <t>10.3390/s22186866</t>
  </si>
  <si>
    <t>Modelling the formation and evolution of glaciovolcanic caves and chimneys.</t>
  </si>
  <si>
    <t>Cohort profile: the British Columbia COVID-19 Population Mixing Patterns Survey (BC-Mix)</t>
  </si>
  <si>
    <t>10.1136/bmjopen-2021-056615</t>
  </si>
  <si>
    <t>10.1140/epjs/s11734-022-00612-8</t>
  </si>
  <si>
    <t>A Hierarchical Ecosystem Approach to Evaluate Global Warming Impacts in Three Global Ecoregions</t>
  </si>
  <si>
    <t>10.1002/sim.9364</t>
  </si>
  <si>
    <t>SwarmFidget: Exploring Programmable Actuated Fidgeting with Swarm Robots</t>
  </si>
  <si>
    <t>The Effect of Wave Motion Intensities on Performance in a Simulated Search and Rescue Task and the Concurrent Demands of Maintaining Balance</t>
  </si>
  <si>
    <t>10.1177/0018720820952907</t>
  </si>
  <si>
    <t>Applications of Quantum Probability Amplitude in Decision Support Systems</t>
  </si>
  <si>
    <t>Simplifying Bias Correction for Selective Sampling: A Unified Distribution-Free Approach to Handling Endogenously Selected Samples</t>
  </si>
  <si>
    <t>10.1287/mksc.2021.1330</t>
  </si>
  <si>
    <t>Study of a Steady-State Landscape Using Remote Sensing and Topographic Analysis</t>
  </si>
  <si>
    <t>Multicriteria analysis on rock moisture and streamflow in a rainfall-runoff model improves accuracy of model results</t>
  </si>
  <si>
    <t>10.1002/hyp.14536</t>
  </si>
  <si>
    <t>Real-Time Formal Verification of Autonomous Systems With An FPGA</t>
  </si>
  <si>
    <t>Use of Bayesian Optimization to understand the structure of nuclei</t>
  </si>
  <si>
    <t>10.1016/j.nimb.2021.11.014</t>
  </si>
  <si>
    <t>Characterising the kinematics of the Joffre Peak landslides using a combined numerical modeling-remote sensing approach</t>
  </si>
  <si>
    <t>The characterization of slope damage at the Civita di Bagnoregio plateau using a remote sensing approach</t>
  </si>
  <si>
    <t>10.1201/9781003308867-35</t>
  </si>
  <si>
    <t>DMFuser: Distilled Multi-Task Learning for End-to-end Transformer-Based Sensor Fusion in Autonomous Driving</t>
  </si>
  <si>
    <t>NUMERICAL STUDY OF METHANE PYROLYSIS INSIDE A SINGLE-CHANNEL SHOCK WAVE REFORMER</t>
  </si>
  <si>
    <t>10.1115/GT2022-82683</t>
  </si>
  <si>
    <t>Panel on Simulation Modeling for Covid-19</t>
  </si>
  <si>
    <t>10.1177/09622802211052972</t>
  </si>
  <si>
    <t>Identification-Robust Inference With Simulation-Based Pseudo-Matching</t>
  </si>
  <si>
    <t>AN ADAPTIVE TEST of STOCHASTIC MONOTONICITY</t>
  </si>
  <si>
    <t>10.1017/S0266466620000225</t>
  </si>
  <si>
    <t>TCAD simulations of humidity-induced breakdown of silicon sensors</t>
  </si>
  <si>
    <t>10.1109/TMC.2020.2969352</t>
  </si>
  <si>
    <t>Using simulation to handle implicit likelihoods in a Bayesian analysis</t>
  </si>
  <si>
    <t>10.1063/5.0026591</t>
  </si>
  <si>
    <t>A microanalysis of learner questions and tutor guidance in simulationâ€assisted inquiry learning</t>
  </si>
  <si>
    <t>Is Knowledge Contagious? Diffusion of Violence-Risk-Reporting Practices Across Clinicians’ Professional Networks</t>
  </si>
  <si>
    <t>10.1177/2167702620954797</t>
  </si>
  <si>
    <t>How Do We Know What We Know? Learning from Monte Carlo Simulations</t>
  </si>
  <si>
    <t>10.1016/j.drugpo.2020.102726</t>
  </si>
  <si>
    <t>TURNING 3D DATA SURVEYS OF INTERTIDAL ZONES INTO NEW MODES OF 3D VISUALIZATION, SIMULATION AND SPATIAL INTERFACE EXPERIENCES</t>
  </si>
  <si>
    <t>Fundamental Insight into Glycoside Hydrolase-Catalyzed Hydrolysis of the Universal Koshland Substrates-Glycopyranosyl Fluorides</t>
  </si>
  <si>
    <t>10.1021/acscatal.1c01918</t>
  </si>
  <si>
    <t>Strong Lensing Parameter Estimation on Ground-Based Imaging Data Using Simulation-Based Inference</t>
  </si>
  <si>
    <t>Generalized Computer Model Calibration for Radiation Transport Simulation</t>
  </si>
  <si>
    <t>10.1080/00401706.2019.1701557</t>
  </si>
  <si>
    <t>A quantitative module of avalanche hazardâ€”comparing forecaster assessments of storm and persistent slab avalanche problems with information derived from distributed snowpack simulations</t>
  </si>
  <si>
    <t>10.1109/IECON43393.2020.9254418</t>
  </si>
  <si>
    <t>Solving Dynamic Satellite Image Data Downlink Scheduling Problem Via an Adaptive Bi-Objective Optimization Algorithm</t>
  </si>
  <si>
    <t>10.1109/JIOT.2020.2986352</t>
  </si>
  <si>
    <t>Knowledge Distillation from Single-Task Teachers to Multi-Task Student for End-to-End Autonomous Driving</t>
  </si>
  <si>
    <t>10.1177/0272989X20945308</t>
  </si>
  <si>
    <t>Semantic Segmentation of Land Use / Land Cover (LU/LC) Types Using F-CNNS on Multi-Sensor (Radar-Ir-Optical) Image Data</t>
  </si>
  <si>
    <t>Expander construction in VNC1</t>
  </si>
  <si>
    <t>10.1016/j.apal.2020.102796</t>
  </si>
  <si>
    <t>Developing a Semi-Supervised Strategy in Time Series Mapping of Wetland Covers: A Case Study of Zrebar Wetland, Iran</t>
  </si>
  <si>
    <t>On the Estimation of Jump-Diffusion Models Using Intraday Data: A Filtering-Based Approach</t>
  </si>
  <si>
    <t>10.1137/19M1266915</t>
  </si>
  <si>
    <t>The Design and Evaluation of Emergency Call Taking User Interfaces for Next Generation 9-1-1</t>
  </si>
  <si>
    <t>SAR and optical image fusion for urban infrastructure detection and monitoring</t>
  </si>
  <si>
    <t>10.1117/12.2579480</t>
  </si>
  <si>
    <t>Numerical Models for Oil Spillages in the Black Sea and the Adjacent Sea of Azov</t>
  </si>
  <si>
    <t>Barriers to conducting cancer trials in canada: An analysis of key informant interviews</t>
  </si>
  <si>
    <t>10.3747/co.27.5707</t>
  </si>
  <si>
    <t>Speed and Scalability of Ambipolar Deep-Subthreshold TFTs for Ultralow-Power Printed Electronics</t>
  </si>
  <si>
    <t>Characterization of novel small molecule inhibitors of estrogen receptor-activation function 2 (ER-AF2)</t>
  </si>
  <si>
    <t>10.1186/s13058-024-01926-2</t>
  </si>
  <si>
    <t>An Adaptive Test of Stochastic Monotonicity</t>
  </si>
  <si>
    <t>Understanding the failure mechanisms of the 2017 Santa Lucía landslide, Patagonian Andes, using remote sensing and 3D numerical modelling techniques</t>
  </si>
  <si>
    <t>10.1007/s10346-024-02346-1</t>
  </si>
  <si>
    <t>Enhancing Inhalation Drug Delivery: A Comparative Study and Design Optimization of a Novel Valved Holding Chamber</t>
  </si>
  <si>
    <t>10.1016/j.rsase.2024.101390</t>
  </si>
  <si>
    <t>An Improved OTFS Transmission Frame Structure Design for PAPR Reduction</t>
  </si>
  <si>
    <t>10.1016/j.csda.2024.107977</t>
  </si>
  <si>
    <t>Technology-Enhanced Learning in Medical Education</t>
  </si>
  <si>
    <t>Estimating the potential value of MSM-focused evidence-based implementation interventions in three Ending the HIV Epidemic jurisdictions in the United States: a model-based analysis</t>
  </si>
  <si>
    <t>10.1002/jia2.26265</t>
  </si>
  <si>
    <t>Conical Monopole Antenna with Integrated Tunable Notch Cavity Filters</t>
  </si>
  <si>
    <t>10.1103/PhysRevResearch.6.033055</t>
  </si>
  <si>
    <t>MAPLE: A Machine Learning based Aging-Aware FPGA Architecture Exploration Framework</t>
  </si>
  <si>
    <t>Analysis of Avoided Level Crossing Muon Spin Resonance Spectra of Muoniated Radicals in Anisotropic Environments: Estimation of Muon Dipolar Hyperfine Parameters for Lorentzian-like Δ1 Resonances</t>
  </si>
  <si>
    <t>10.3390/qubs8020015</t>
  </si>
  <si>
    <t>PAPR Analysis and Reduction for OTFS Signal with Large Delay-Doppler Domain</t>
  </si>
  <si>
    <t>Comparative review of novel model-assisted designs for phase I/II clinical trials</t>
  </si>
  <si>
    <t>10.1002/bimj.202300398</t>
  </si>
  <si>
    <t>Impact of Ionene Architecture on Ion Mobility</t>
  </si>
  <si>
    <t>10.1017/asb.2024.6</t>
  </si>
  <si>
    <t>Dual Active Compensation for Voltage Source Rectifiers Under Very Weak Grid Conditions</t>
  </si>
  <si>
    <t>10.1145/3613905.3650972</t>
  </si>
  <si>
    <t>Real-time Reactive Power Compensation by Distributed Generation Simulated using GridLAB-D and PSIM</t>
  </si>
  <si>
    <t>Identification and Estimation in Many-to-One Two-Sided Matching Without Transfers</t>
  </si>
  <si>
    <t>10.3982/ECTA19636</t>
  </si>
  <si>
    <t>A Benchmark for Antenna Correlation Measurements</t>
  </si>
  <si>
    <t>Protein–Ligand Binding and Structural Modelling Studies of Pheromone-Binding Protein-like Sol g 2.1 from Solenopsis geminata Fire Ant Venom</t>
  </si>
  <si>
    <t>10.3390/molecules29051033</t>
  </si>
  <si>
    <t>Near-Field Reception of Dipole Sources Using a Dual-Loaded Loop</t>
  </si>
  <si>
    <t>Unraveling Adaptive Evolutionary Divergence at Microgeographic Scales</t>
  </si>
  <si>
    <t>10.1086/727723</t>
  </si>
  <si>
    <t>Unsupervised learning on U.S. weather forecast performance</t>
  </si>
  <si>
    <t>10.1109/WHISPERS65427.2024.10876533</t>
  </si>
  <si>
    <t>Techno-Economic Assessment for Installation of INVELOX Wind Turbines in Northern Iran</t>
  </si>
  <si>
    <t>Next-Gen Satellite System: Integrative Non-Orthogonal Broadcast and Unicast Services Based on Innovative Frequency Reuse Patterns</t>
  </si>
  <si>
    <t>10.1109/TBC.2024.3434731</t>
  </si>
  <si>
    <t>Approximation of Zero-Inflated Poisson Credibility Premium via Variational Bayes Approach</t>
  </si>
  <si>
    <t>Data-Efficient Operator Learning via Unsupervised Pretraining and In-Context Learning</t>
  </si>
  <si>
    <t>A multiport embedded DC power flow controller for ISOP-DCT</t>
  </si>
  <si>
    <t>Nonnegative Matrix Factorization with Group and Basis Restrictions</t>
  </si>
  <si>
    <t>10.1007/s12561-023-09398-2</t>
  </si>
  <si>
    <t>Adaptive Cooperation Rate-Splitting Multiple Access for Integrated Satellite-Terrestrial Network</t>
  </si>
  <si>
    <t>10.4204/EPTCS.394.17</t>
  </si>
  <si>
    <t>Multifocal Ectopic Purkinje Premature Contractions due to neutralization of an &lt;i&gt;SCN5A&lt;/i&gt; negative charge: structural insights into the gating pore hypothesis</t>
  </si>
  <si>
    <t>Measurement of the cross-sections of the electroweak and total production of a Zγ pair in association with two jets in pp collisions at s=13 TeV with the ATLAS detector</t>
  </si>
  <si>
    <t>10.1016/j.physletb.2023.138222</t>
  </si>
  <si>
    <t>Equitable Allocation of Scarce Resources During the Covid-19 Pandemic: A Case Study for Convalescent Plasma Distribution</t>
  </si>
  <si>
    <t>Discovery and Visualization of the Hidden Relationships among N-Glycosylation, Disulfide Bonds, and Membrane Topology</t>
  </si>
  <si>
    <t>10.3390/ijms242216182</t>
  </si>
  <si>
    <t>Shifting Attributions for Poverty Motivates Opposition to Inequality and Enhances Egalitarianism</t>
  </si>
  <si>
    <t>10.1016/j.physd.2023.133670</t>
  </si>
  <si>
    <t>Bidirectional Series-Type DC Hybrid Circuit Breaker With Self-Restart Capability and Energy Regeneration</t>
  </si>
  <si>
    <t>Functional L-Optimality Subsampling for Functional Generalized Linear Models with Massive Data</t>
  </si>
  <si>
    <t>Effective population size in simple infectious disease models</t>
  </si>
  <si>
    <t>10.1109/OJAP.2022.3228541</t>
  </si>
  <si>
    <t>Service Coalition Based Joint Application Deployment and Task Assignment for Mobile Edge Computing</t>
  </si>
  <si>
    <t>Examining the Directionality of the Relationship Between Maternal Warmth and Early School-Age Anxiety</t>
  </si>
  <si>
    <t>10.1007/s10578-021-01197-4</t>
  </si>
  <si>
    <t>Jointly modelling multiple transplant outcomes by a competing risk model via functional principal component analysis</t>
  </si>
  <si>
    <t>Stopping time detection of wood panel compression: A functional time-series approach</t>
  </si>
  <si>
    <t>10.1111/rssc.12572</t>
  </si>
  <si>
    <t>Diversifying beam species through decay and recapture ion trapping: a demonstrative experiment at TITAN-EBIT</t>
  </si>
  <si>
    <t>Pass Evaluation in Women's Olympic Ice Hockey</t>
  </si>
  <si>
    <t>10.1145/3552437.3555702</t>
  </si>
  <si>
    <t>AIoT-Empowered Smart Grid Energy Management with Distributed Control and Non-Intrusive Load Monitoring</t>
  </si>
  <si>
    <t>10.1016/j.ijresmar.2021.11.001</t>
  </si>
  <si>
    <t>Estimating duration distribution aided by auxiliary longitudinal measures in presence of missing time origin</t>
  </si>
  <si>
    <t>Cramér-von Mises tests for change points</t>
  </si>
  <si>
    <t>10.1111/sjos.12544</t>
  </si>
  <si>
    <t>Cofactor Dynamics Couples the Protein Surface to the Heme in Cytochrome c, Facilitating Electron Transfer</t>
  </si>
  <si>
    <t>10.1021/acs.jpcb.2c01632</t>
  </si>
  <si>
    <t>TapeFlow: Streaming Gradient Tapes in Automatic Differentiation</t>
  </si>
  <si>
    <t>10.3389/fpsyg.2022.767446</t>
  </si>
  <si>
    <t>Functional L-Optimality Subsampling for Massive Data</t>
  </si>
  <si>
    <t>10.1016/j.ecolmodel.2021.109798</t>
  </si>
  <si>
    <t>Evaluation of the University of Victoria Earth System Climate Modelversion 2.10 (UVic ESCM 2.10)</t>
  </si>
  <si>
    <t>10.1093/ectj/utab025</t>
  </si>
  <si>
    <t>The Effects of Auxin Transport Inhibition on the Formation of Various Leaf and Vein Patterns</t>
  </si>
  <si>
    <t>Updated and Adapted Curriculum and Pedagogy of Physics with the Fourth Industrial Revolution and Quantum Revolution: From Waves Principles to Quantum Mechanics Fundamentals</t>
  </si>
  <si>
    <t>10.1109/QCE53715.2022.00088</t>
  </si>
  <si>
    <t>Density-dependent selection during range expansion affects expansion load in life-history traits</t>
  </si>
  <si>
    <t>Producing "Enemy Intelligence": Information Infrastructure and the Smart City in Northwest China</t>
  </si>
  <si>
    <t>10.7560/IC57205</t>
  </si>
  <si>
    <t>Binding of Calcium and Magnesium to Cardiac Troponin C</t>
  </si>
  <si>
    <t>Assessing Classifier Fairness with Collider Bias</t>
  </si>
  <si>
    <t>10.1007/978-3-031-05936-0_21</t>
  </si>
  <si>
    <t>Towards Inversion-Free Sparse Bayesian Learning: A Universal Approach</t>
  </si>
  <si>
    <t>10.2514/1.J060718</t>
  </si>
  <si>
    <t>Map Comparison Methods for Three-Dimensional Space and Time Voxel Data</t>
  </si>
  <si>
    <t>10.1111/gean.12279</t>
  </si>
  <si>
    <t>LAG-1: A dynamic, integrative model of learning, attention, and gaze</t>
  </si>
  <si>
    <t>Dynamics and local environment of an aromatic counterion bound to di-chain cationic surfactant bilayers studied by avoided level crossing muon spin resonance: Evidence for counterion condensation</t>
  </si>
  <si>
    <t>10.1039/d1cp04575j</t>
  </si>
  <si>
    <t>Estimation of Distribution Algorithm for Resource Allocation in Green Cooperative Cognitive Radio Sensor Networks</t>
  </si>
  <si>
    <t>Assessing the impacts of species composition on the accuracy of mapping chlorophyll content in heterogeneous ecosystems</t>
  </si>
  <si>
    <t>10.3390/rs13224671</t>
  </si>
  <si>
    <t>3-D FDTD Framework for Simulating SAR Imagery of Realistic Near Earth Surface Volumes (Soil, Snow, and Vegetation)</t>
  </si>
  <si>
    <t>10.1109/LRA.2021.3098332</t>
  </si>
  <si>
    <t>Investigating the ecological and toxicological significance of CyanoxÂ®53 recovered from intertidal sediments and varnish clam</t>
  </si>
  <si>
    <t>10.1109/JSYST.2020.3010791</t>
  </si>
  <si>
    <t>A Task Bundling based Multi-Platform Cooperation Mechanism for Mobile Crowdsensing</t>
  </si>
  <si>
    <t>Functional joint models for chronic kidney disease in kidney transplant recipients</t>
  </si>
  <si>
    <t>10.1177/09622802211009265</t>
  </si>
  <si>
    <t>Least-Restrictive Multi-agent Collision Avoidance viaÂ Deep Meta Reinforcement Learning andÂ Optimal Control</t>
  </si>
  <si>
    <t>10.1145/3458305.3459594</t>
  </si>
  <si>
    <t>VR-DesignSpace: A Creativity Support Environment Integrating Virtual Reality Technology into Collaborative Data-Informed Evaluation of Design Alternatives</t>
  </si>
  <si>
    <t>The ATLAS fast TracKer system</t>
  </si>
  <si>
    <t>10.1088/1748-0221/16/07/P07006</t>
  </si>
  <si>
    <t>Simulated exome-sequencing data for a family study of lymphoid cancer</t>
  </si>
  <si>
    <t>10.1103/PhysRevA.104.012619</t>
  </si>
  <si>
    <t>Predicting long pendant edges in model phylogenies, with applications to biodiversity and tree inference</t>
  </si>
  <si>
    <t>10.1016/j.clinph.2021.03.015</t>
  </si>
  <si>
    <t>Suspended sediment releases in rivers: Toward establishing a safe sediment dose for construction projects</t>
  </si>
  <si>
    <t>Load Balancing Schemes for Large Synthetic Population-Based Complex Simulators</t>
  </si>
  <si>
    <t>10.1109/IPDPSW52791.2021.00156</t>
  </si>
  <si>
    <t>Could an optional protocol be the way to stop the weaponization of outer space?</t>
  </si>
  <si>
    <t>10.1177/00207020211020521</t>
  </si>
  <si>
    <t>Crossed Wires: Does Fiscal and Monetary Policy Coordination Matter?</t>
  </si>
  <si>
    <t>Can you trust who you see? The evolution of socially cued anticipatory plasticity</t>
  </si>
  <si>
    <t>10.1086/712919</t>
  </si>
  <si>
    <t>Weaponization of refugees: Why now?</t>
  </si>
  <si>
    <t>Routledge Handbook on Contemporary Egypt</t>
  </si>
  <si>
    <t>10.4324/9780429058370</t>
  </si>
  <si>
    <t>Editorial: Developments of remote sensing and numerical modeling applications for landslide analysis</t>
  </si>
  <si>
    <t>10.1016/j.enggeo.2020.105980</t>
  </si>
  <si>
    <t>10.23919/ICCAS52745.2021.9649799</t>
  </si>
  <si>
    <t>Priority-Aware Parallel Transmission Toward Dense Satellite Remote Sensing and Communication Integrated Networks</t>
  </si>
  <si>
    <t>NOMA-Based User Cooperation with Incremental Hybrid Forwarding Protocols</t>
  </si>
  <si>
    <t>10.1109/OJCOMS.2021.3129218</t>
  </si>
  <si>
    <t>Towards High Accuracy Low Latency Real-Time Road Information Collection: An Edge-Assisted Sensor Fusion Approach</t>
  </si>
  <si>
    <t>10.1109/IEMCON51383.2020.9284852</t>
  </si>
  <si>
    <t>Trading Simulations and Real Money Outcomes</t>
  </si>
  <si>
    <t>10.1145/3382507.3421156</t>
  </si>
  <si>
    <t>Basic Income Simulations for the Province of British Columbia</t>
  </si>
  <si>
    <t>10.23919/URSIGASS49373.2020.9232031</t>
  </si>
  <si>
    <t>Noise Simulation-Based Deep Optical Watermarking</t>
  </si>
  <si>
    <t>Estimation of sparse functional additive models with adaptive group lasso</t>
  </si>
  <si>
    <t>10.5705/ss.202017.0491</t>
  </si>
  <si>
    <t>Barotropic vorticity budget analysis in a global ocean simulation</t>
  </si>
  <si>
    <t>Subchannel Assignment and Power Optimization in Caching based UAV Networks with NOMA</t>
  </si>
  <si>
    <t>10.1109/ICC40277.2020.9148995</t>
  </si>
  <si>
    <t>SimRVSequences: An R package to simulate genetic sequence data for pedigrees</t>
  </si>
  <si>
    <t>10.1093/bioinformatics/btz881</t>
  </si>
  <si>
    <t>Discrete simulations of fluid-driven transport of naturally shaped sediment particles</t>
  </si>
  <si>
    <t>10.23919/EuCAP48036.2020.9135989</t>
  </si>
  <si>
    <t>Multiscale Simulation-Based Mixed Train Derailment Analysis: A Case Study</t>
  </si>
  <si>
    <t>When QoE meets learning: A distributed traffic-processing framework for elastic resource provisioning in HetNets</t>
  </si>
  <si>
    <t>10.1016/j.comnet.2019.106904</t>
  </si>
  <si>
    <t>Stroke technique in C1 canoe slalom: a simulation study</t>
  </si>
  <si>
    <t>10.1007/978-3-030-44051-0_34</t>
  </si>
  <si>
    <t>Crowd Management of Honda Celebration of Light Using Agent-based Modelling and Simulation</t>
  </si>
  <si>
    <t>FedHybrid: Breaking the Memory Wall of Federated Learning via Hybrid Tensor Management</t>
  </si>
  <si>
    <t>10.1145/3666025.3699346</t>
  </si>
  <si>
    <t>Modeling and Simulation of the Mechanical Properties of Reinforced Fuel Cell Membranes</t>
  </si>
  <si>
    <t>10.1007/s41748-024-00437-6</t>
  </si>
  <si>
    <t>A Canadian Simulation Model for Major Depressive Disorder: Study Protocol</t>
  </si>
  <si>
    <t>10.1016/j.chb.2024.108234</t>
  </si>
  <si>
    <t>Understanding radioactive ion beam production at ISAC through yield measurements and simulations</t>
  </si>
  <si>
    <t>Adiabatic expansion cooling of antihydrogen</t>
  </si>
  <si>
    <t>10.1103/PhysRevResearch.6.L032065</t>
  </si>
  <si>
    <t>A Simulation and Empirical Study of the Maximum Likelihood Estimator for Stochastic Volatility Jump-Diffusion Models</t>
  </si>
  <si>
    <t>Development of a Value Assessment Framework for Pediatric Health Technologies Using Multicriteria Decision Analysis: Expanding the Value Lens for Funding Decision Making</t>
  </si>
  <si>
    <t>10.1016/j.jval.2024.03.012</t>
  </si>
  <si>
    <t>Simulation-based estimation with many auxiliary statistics applied to long-run dynamic analysis</t>
  </si>
  <si>
    <t>Measurement of jet substructure in boosted Formula Presented events with the ATLAS detector using Formula Presented of 13 TeV Formula Presented collisions</t>
  </si>
  <si>
    <t>10.1103/PhysRevD.109.112016</t>
  </si>
  <si>
    <t>Using snow depth observation to provide insight into the quality of regional-scale snowpack simulations for avalanche forecasting</t>
  </si>
  <si>
    <t>10.1609/aaai.v38i21.30388</t>
  </si>
  <si>
    <t>Simulation of Cathode Catalyst Durability Under Fuel Cell Vehicle Operation - the Effect of Temperature</t>
  </si>
  <si>
    <t>TKSM: highly modular, user-customizable, and scalable transcriptomic sequencing long-read simulator</t>
  </si>
  <si>
    <t>10.1093/bioinformatics/btae051</t>
  </si>
  <si>
    <t>Effects of just-in-time inquiry prompts and principle-based self-explanation guidance on learning and use of domain texts in simulation-based inquiry learning</t>
  </si>
  <si>
    <t>10.1109/IROS58592.2024.10802517</t>
  </si>
  <si>
    <t>A MEMS Gravimeter with Buckling-Beam Nonlinear Springs for Enhanced Sensitivity and Dynamic Range</t>
  </si>
  <si>
    <t>10.1109/SENSORS60989.2024.10784982</t>
  </si>
  <si>
    <t>Snow Water Equivalent Change Mapping from Slope Correlated InSAR Phase Variations</t>
  </si>
  <si>
    <t>10.1109/LWC.2024.3432157</t>
  </si>
  <si>
    <t>Global Trends in Policies Toward Foreign Direct Investment by State-Owned Enterprises</t>
  </si>
  <si>
    <t>Measurements of Penning-Malmberg trap patch potentials and associated performance degradation</t>
  </si>
  <si>
    <t>10.1103/PhysRevResearch.6.L012008</t>
  </si>
  <si>
    <t>Nuclear Threats and Canadaâ€™s Disarmament Diplomacy</t>
  </si>
  <si>
    <t>10.1016/j.chiabu.2023.106578</t>
  </si>
  <si>
    <t>Enhanced In-Home Human Activity Recognition Using Multimodal Sensing and Spatiotemporal Machine Learning Architecture</t>
  </si>
  <si>
    <t>10.1080/10618600.2023.2233581</t>
  </si>
  <si>
    <t>On Study of 1D Depth Scans as an Alternative Feature for Human Pose Detection in a Sensor Network</t>
  </si>
  <si>
    <t>Structure studies of Be 13 from the Be 12 (d,p) reaction in inverse kinematics on a solid deuteron target</t>
  </si>
  <si>
    <t>10.1103/PhysRevC.108.034601</t>
  </si>
  <si>
    <t>State Responsibility: International Legal Explanation of the United Kingdomâ€™s Citizenship Provision to Hong Kong British National Overseas</t>
  </si>
  <si>
    <t>Search for leptonic charge asymmetry in tt¯ W production in final states with three leptons at √s = 13 TeV</t>
  </si>
  <si>
    <t>10.1007/JHEP07(2023)033</t>
  </si>
  <si>
    <t>A Quantum Model for Decision Support in a Sensor Network</t>
  </si>
  <si>
    <t>10.1007/s12220-023-01282-1</t>
  </si>
  <si>
    <t>Enhance Creative Thinking by Collaborating with Designers</t>
  </si>
  <si>
    <t>10.1111/aman.13817</t>
  </si>
  <si>
    <t>Design and Fabrication Considerations for Thermo-Resistive Pixel Detectors for Room Temperature Directional Long Wavelength IR Sensing</t>
  </si>
  <si>
    <t>10.1093/sysbio/syac059</t>
  </si>
  <si>
    <t>PA-FaSTrack: Planner-Aware Real-Time Guaranteed Safe Planning</t>
  </si>
  <si>
    <t>10.1007/s11251-022-09614-4</t>
  </si>
  <si>
    <t>Off-Nadir Photogrammetry for Airborne SAR Motion Compensation: A First Step</t>
  </si>
  <si>
    <t>An Enhanced C-V2X Mode 4 Resource Selection Scheme for CAV Platoons in a Multilane Highway Scenario</t>
  </si>
  <si>
    <t>10.1109/FCN60432.2023.10543699</t>
  </si>
  <si>
    <t>Predicting Long-Term Human Behaviors in Discrete Representations via Physics-Guided Diffusion</t>
  </si>
  <si>
    <t>10.1109/IWQoS57198.2023.10188781</t>
  </si>
  <si>
    <t>Data for publication "Asymmetry in the climate-carbon cycle response to positive and negative CO2 emissions"</t>
  </si>
  <si>
    <t>10.1109/JFLEX.2023.3237991</t>
  </si>
  <si>
    <t>Layer-to-Layer Thermal History Prediction for Thin Walls in Metal Additive Manufacturing</t>
  </si>
  <si>
    <t>Retinal blood vessel diameters in children and adults exposed to a simulated altitude of 3,000 m</t>
  </si>
  <si>
    <t>10.3389/fphys.2023.1026987</t>
  </si>
  <si>
    <t>Voice Command Based Crowd Control Training System with Various Police Formations</t>
  </si>
  <si>
    <t>10.1016/j.nimb.2022.11.006</t>
  </si>
  <si>
    <t>Deformation Gradient Control of Physically Simulated Amorphous Solids</t>
  </si>
  <si>
    <t>10.1080/02664763.2021.1981256</t>
  </si>
  <si>
    <t>Nanoscale modeling of shock response of polyurea</t>
  </si>
  <si>
    <t>10.1002/cjs.11747</t>
  </si>
  <si>
    <t>Molecular Dynamics Study of the Nanoscale Proton Density Distribution at the Ionomer-Catalyst Interface</t>
  </si>
  <si>
    <t>Co-evolution of dormancy and dispersal in spatially autocorrelated landscapes</t>
  </si>
  <si>
    <t>10.1111/evo.14625</t>
  </si>
  <si>
    <t>Optimal consensus control models on the sphere</t>
  </si>
  <si>
    <t>10.1007/s11222-022-10117-y</t>
  </si>
  <si>
    <t>A Si-SiC Darlington Transistor Pair With Low Consumption</t>
  </si>
  <si>
    <t>10.3389/fphar.2022.976903</t>
  </si>
  <si>
    <t>Mapping the material distribution of a complex structure in an electron beam</t>
  </si>
  <si>
    <t>10.1016/j.csda.2022.107483</t>
  </si>
  <si>
    <t>Small-Signal Stability Study of AC/DC Hybrid Weak Microgrid</t>
  </si>
  <si>
    <t>10.1103/PhysRevB.106.085123</t>
  </si>
  <si>
    <t>Cooperative-Rationality-Based Multiplatform Task Assignment Mechanisms for Mobile Crowdsensing</t>
  </si>
  <si>
    <t>Dynamic prediction with time-dependent marker in survival analysis using supervised functional principal component analysis</t>
  </si>
  <si>
    <t>10.1002/sim.9433</t>
  </si>
  <si>
    <t>Tweedie Multivariate Semi-Parametric Credibility</t>
  </si>
  <si>
    <t>10.1002/nafm.10719</t>
  </si>
  <si>
    <t>Active Voltage Controlled Switching of the Power GaN HEMT</t>
  </si>
  <si>
    <t>10.3389/fhumd.2022.670647</t>
  </si>
  <si>
    <t>Loop Proximity Effects in Three-Loop Antenna Systems</t>
  </si>
  <si>
    <t>EFFECTS OF RAIL HARDNESS ON TRANSVERSE PROFILE EVOLUTION AND COMPUTED CONTACT CONDITIONS IN A FULL-SCALE WHEEL-RAIL TEST RIG EVALUATION</t>
  </si>
  <si>
    <t>Low-Cost Dual-Polarized Crossed Slot Array</t>
  </si>
  <si>
    <t>10.1109/WSC57314.2022.10015490</t>
  </si>
  <si>
    <t>Replication For: Equation Balance in Time Series Analysis: Lessons Learned and Lessons Needed</t>
  </si>
  <si>
    <t>10.1109/DSD57027.2022.00017</t>
  </si>
  <si>
    <t>Effect of Stochastic Model Error on the Convergence and Accuracy of Markov Chains</t>
  </si>
  <si>
    <t>A Figure of Merit for Power FET Switching Devices</t>
  </si>
  <si>
    <t>10.1109/ECCE50734.2022.9948121</t>
  </si>
  <si>
    <t>Estimating time-varying directed neural networks</t>
  </si>
  <si>
    <t>ADVANCED MODELLING AND PERFORMANCE EVALUATION OF HYDROGEN-POWERED HEAVY HAUL LOCOMOTIVE</t>
  </si>
  <si>
    <t>10.1115/JRC2022-78005</t>
  </si>
  <si>
    <t>10.1016/j.bspc.2021.103124</t>
  </si>
  <si>
    <t>Optimal subsampling for generalized additive models on large-scale datasets</t>
  </si>
  <si>
    <t>10.1109/TAP.2021.3076194</t>
  </si>
  <si>
    <t>Faster Asymptotic Solutions for N-Mixtures on Large Populations</t>
  </si>
  <si>
    <t>10.1103/PhysRevB.104.155406</t>
  </si>
  <si>
    <t>An Efficient Online Task Assignment Algorithm for Hybrid Mobile Crowdsensing</t>
  </si>
  <si>
    <t>On complex economic scenario generators: Is less more?</t>
  </si>
  <si>
    <t>10.1017/asb.2021.21</t>
  </si>
  <si>
    <t>Soft splicing model: bridging the gap between composite model and finite mixture model</t>
  </si>
  <si>
    <t>10.23919/epe21ecceeurope50061.2021.9570511</t>
  </si>
  <si>
    <t>Parametric testing for normality against bimodal and unimodal alternatives using higher moments</t>
  </si>
  <si>
    <t>Critical research techniques in animal and habitat ecology</t>
  </si>
  <si>
    <t>Radio Frequency Cavityâ€™s Analytical Model and Control Design</t>
  </si>
  <si>
    <t>Knowledge transfer and retention of simulation-based learning for neurosurgical instruments: A randomised trial of perioperative nurses</t>
  </si>
  <si>
    <t>10.1136/bmjstel-2019-000576</t>
  </si>
  <si>
    <t>Estimation in the Cox cure model with covariates missing not at random, with application to disease screening/prediction</t>
  </si>
  <si>
    <t>Towards User-Friendly Wearable Platforms for Monitoring Unconstrained Indoor and Outdoor Activities</t>
  </si>
  <si>
    <t>10.1109/JBHI.2020.3004319</t>
  </si>
  <si>
    <t>An Auxiliary Converter for Fuel Cell Stack EIS using a Switched-Capacitor Converter Interfaced Supercapacitor as a Bidirectional Energy Buffer</t>
  </si>
  <si>
    <t>Performance analysis of high-power three-phase current source inverters in photovoltaic applications</t>
  </si>
  <si>
    <t>10.1049/cds2.12001</t>
  </si>
  <si>
    <t>Metaheuristics Applied to the Optimal Renewable Microgrid Sizing to Supply Remote Communities</t>
  </si>
  <si>
    <t>SEMANTIC SEGMENTATION OF LAND USE/LAND COVER (LU/LC) TYPES USING F-CNNS ON MULTI-SENSOR (RADAR-IR-OPTICAL) IMAGE DATA</t>
  </si>
  <si>
    <t>10.1109/IGARSS47720.2021.9554051</t>
  </si>
  <si>
    <t>IEL-CDA model: A more accurate theory of behavior in continuous double auctions</t>
  </si>
  <si>
    <t>Dual Active Compensation for Voltage Source Rectifiers under Very Weak Grid Conditions</t>
  </si>
  <si>
    <t>10.1109/ACCESS.2021.3131481</t>
  </si>
  <si>
    <t>Discovering Diverse Athletic Jumping Strategies</t>
  </si>
  <si>
    <t>10.1007/978-3-030-78642-7_50</t>
  </si>
  <si>
    <t>Synergistic Design of Resonant Elements and Force Multipliers to Boost the Sensitivity in Resonant Sensing Applications</t>
  </si>
  <si>
    <t>Comparison of staircase and asymmetrical before-after, control- impact (ABACI) experimental designs to test the effectiveness of streamrestoration at increasing juvenile steelhead density</t>
  </si>
  <si>
    <t>10.1139/cjfas-2020-0096</t>
  </si>
  <si>
    <t>Low-Complexity Grouping Precoding Based on RSMA for Multibeam Satellite System (Invited Paper)</t>
  </si>
  <si>
    <t>TTR-based reward for reinforcement learning with implicit model priors</t>
  </si>
  <si>
    <t>10.1109/IROS45743.2020.9341477</t>
  </si>
  <si>
    <t>Online and energy-efficient task-processing for distributed edge networks</t>
  </si>
  <si>
    <t>10.1109/TAP.2020.2998431</t>
  </si>
  <si>
    <t>10.1109/IEEECONF35879.2020.9330310</t>
  </si>
  <si>
    <t>Powerful t-tests in the presence of nonclassical measurement error</t>
  </si>
  <si>
    <t>START: single-to-double arm transition design for phase II clinical trials</t>
  </si>
  <si>
    <t>10.1002/pst.2005</t>
  </si>
  <si>
    <t>Effects of Various Barricades on Human Crowd Movement Flow</t>
  </si>
  <si>
    <t>10.1103/PhysRevB.101.235442</t>
  </si>
  <si>
    <t>TASRI: Toward Traffic-Aware, Sustainable and Reliable ISL Provisioning for LEO Satellite Constellation Networking</t>
  </si>
  <si>
    <t>A maximum entropy method for the prediction of size distributions</t>
  </si>
  <si>
    <t>10.3390/e22030312</t>
  </si>
  <si>
    <t>The success of computational material design for sustainable energy catalysis</t>
  </si>
  <si>
    <t>Morphodynamics of downstream fining in rivers with unimodal sand-gravel feed</t>
  </si>
  <si>
    <t>An Efficient Elastic Scaling, Service Deployment, and Task Allocation Algorithm for Mobile Edge Computing</t>
  </si>
  <si>
    <t>10.1021/acs.macromol.4c01217</t>
  </si>
  <si>
    <t>Penalized Logistic Regression Analysis for Genetic Association Studies of Binary Phenotypes</t>
  </si>
  <si>
    <t>10.1515/ijb-2023-0056</t>
  </si>
  <si>
    <t>Combinatorial Incentive Mechanism for Bundling Spatial Crowdsourcing with Unknown Utilities</t>
  </si>
  <si>
    <t>Sensor response and radiation damage effects for 3D pixels in the ATLAS IBL Detector</t>
  </si>
  <si>
    <t>10.1088/1748-0221/19/10/P10008</t>
  </si>
  <si>
    <t>10.1016/j.nima.2024.169729</t>
  </si>
  <si>
    <t>Comparative Study of Permanent-Magnet Synchronous Motor Drives: Two-level GaN-Based and Three-level Silicon-Based Voltage Source Inverters</t>
  </si>
  <si>
    <t>10.1103/PhysRevB.109.224421</t>
  </si>
  <si>
    <t>Stellerâ€™s sea cow uncertain history illustrates importance of ecological context when interpreting demographic histories from genomes</t>
  </si>
  <si>
    <t>10.3390/s24092796</t>
  </si>
  <si>
    <t>Supplementary material to "Evaluation of the University of Victoria Earth System Climate Modelversion 2.10 (UVic ESCM 2.10)"</t>
  </si>
  <si>
    <t>10.1109/TVT.2023.3336891</t>
  </si>
  <si>
    <t>Hillslope diffusion and channel steepness in landscape evolution models</t>
  </si>
  <si>
    <t>Downsizing a Heavy-Duty Natural Gas Engine by Scaling the Air Handling System and Leveraging Phenomenological Combustion Model</t>
  </si>
  <si>
    <t>10.4271/2024-01-2114</t>
  </si>
  <si>
    <t>ITSVA: Toward 6G-Enabled Vision Analytics over Integrated Terrestrial-Satellite Network</t>
  </si>
  <si>
    <t>10.1115/1.4064436</t>
  </si>
  <si>
    <t>Hybrid Dynamic Modelling using FeedForward and Temporal Convolutional Networks (FNN+TCN) and Robust Control Scheme for Aerial Manipulators</t>
  </si>
  <si>
    <t>10.1086/728599</t>
  </si>
  <si>
    <t>Capturing diversity: Split systems and circular approximations for conservation</t>
  </si>
  <si>
    <t>10.1016/j.jtbi.2023.111689</t>
  </si>
  <si>
    <t>10.1007/s11222-023-10342-z</t>
  </si>
  <si>
    <t>Accelerating Blockchain-Enabled Federated Learning With Clustered Clients</t>
  </si>
  <si>
    <t>10.1109/IROS58592.2024.10802731</t>
  </si>
  <si>
    <t>10.1109/FPL64840.2024.00018</t>
  </si>
  <si>
    <t>Cooperative Sensing and User-Echo Associations for Integrated Sensing and Communication Networks</t>
  </si>
  <si>
    <t>10.1109/TSP.2024.3484908</t>
  </si>
  <si>
    <t>Ruckus in the Rentals, Seeking New Arrangements: Remedying the Impact of Home-Sharing on Urban Noise</t>
  </si>
  <si>
    <t>Distributed Stable Multi-Source Dynamic Broadcasting for Wireless Multi-Hop Networks Under SINR-Based Adversarial Channel Jamming</t>
  </si>
  <si>
    <t>10.1109/TNET.2024.3470649</t>
  </si>
  <si>
    <t>An exploration of linkage fineâ€mapping on sequences from caseâ€control studies</t>
  </si>
  <si>
    <t>EFFICIENCY-DRIVEN SUPERVISED LEARNING REGRESSORS IN POWER MODELING AND OPTIMIZATION OF VERTICAL AXIS WIND TURBINES</t>
  </si>
  <si>
    <t>10.1115/ES2024-124369</t>
  </si>
  <si>
    <t>Inference for the Difference of Two Independent KS Sharpe Ratios under Lognormal Returns</t>
  </si>
  <si>
    <t>Orchestrating Sustainable and Service-Differentiable Satellite Networking: A Federated Cross-Orbit Approach</t>
  </si>
  <si>
    <t>10.1109/IWQoS61813.2024.10682914</t>
  </si>
  <si>
    <t>Quasi-Two-Dimensional Numerical Model for Shock Wave Reformers</t>
  </si>
  <si>
    <t>10.1109/CCECE59415.2024.10667220</t>
  </si>
  <si>
    <t>Assessing Export Opportunities for Canada in India</t>
  </si>
  <si>
    <t>Investigating the ecological and toxicological significance of Cyanox®53 recovered from intertidal sediments and varnish clam</t>
  </si>
  <si>
    <t>10.3389/fenvs.2024.1439573</t>
  </si>
  <si>
    <t>10.1109/ICC51166.2024.10622971</t>
  </si>
  <si>
    <t>pCODE: Estimating Parameters of ODE Models</t>
  </si>
  <si>
    <t>10.1109/INFOCOM52122.2024.10621352</t>
  </si>
  <si>
    <t>Testing Effects of Various Barricades and Walls on Crowd Flows in a Four-Way Intersection</t>
  </si>
  <si>
    <t>10.1109/IWCMC61514.2024.10592460</t>
  </si>
  <si>
    <t>Impact of Pathological Vascular Remodelling on Right Ventricular Mechanics</t>
  </si>
  <si>
    <t>D-PREDICT: INTEGRATING GENERATIVE DESIGN AND SURROGATE MODELLING WITH DESIGN ANALYTICS</t>
  </si>
  <si>
    <t>A Differentially Private Approach for Budgeted Combinatorial Multi-Armed Bandits</t>
  </si>
  <si>
    <t>10.1109/TGRS.2024.3391790</t>
  </si>
  <si>
    <t>Multipath artifacts enable angular contrast in multimodal endoscopic optical coherence tomography</t>
  </si>
  <si>
    <t>10.1080/14763141.2021.1951828</t>
  </si>
  <si>
    <t>Hierarchical stock assessment methods improve management performance in multi-species, data-limited fisheries</t>
  </si>
  <si>
    <t>10.1109/INFOCOMWKSHPS61880.2024.10620863</t>
  </si>
  <si>
    <t>Snow profile alignment and similarity assessment for aggregating,clustering, and evaluating of snowpack model output for avalancheforecasting</t>
  </si>
  <si>
    <t>10.1007/s00285-023-02016-1</t>
  </si>
  <si>
    <t>Bayesian singleâ€toâ€double arm transition design using both shortâ€term and longâ€term endpoints</t>
  </si>
  <si>
    <t>10.1177/09544119231207653</t>
  </si>
  <si>
    <t>A Truthful Pricing-Based Defending Strategy Against Adversarial Attacks in Budgeted Combinatorial Multi-Armed Bandits</t>
  </si>
  <si>
    <t>10.1039/d3nr02742b</t>
  </si>
  <si>
    <t>Primary care family physicians' experiences with clinical integration in qualitative and mixed reviews: A systematic review protocol</t>
  </si>
  <si>
    <t>10.1136/bmjopen-2022-067576</t>
  </si>
  <si>
    <t>What Aspect of Model Performance is the Most Relevant to Skillful Future Projection on a Regional Scale?</t>
  </si>
  <si>
    <t>Computational Efficiency and Precision for Replicated-Count and Batch-Marked Hidden Population Models</t>
  </si>
  <si>
    <t>10.1007/s13253-022-00509-y</t>
  </si>
  <si>
    <t>Effect of Impact Parameters on a Unilateral Contusion Model of Spinal Cord Injury in a Virtual Population of Non-Human Primates</t>
  </si>
  <si>
    <t>10.1109/WSC60868.2023.10408073</t>
  </si>
  <si>
    <t>qTPI: A quasi-toxicity probability interval design for phase I trials with multiple-grade toxicities</t>
  </si>
  <si>
    <t>Identification of injured elements in computational models of spinal cord injury using machine learning</t>
  </si>
  <si>
    <t>10.1109/EMBC40787.2023.10340243</t>
  </si>
  <si>
    <t>Effectively Learning Moiré QR Code Decryption from Simulated Data</t>
  </si>
  <si>
    <t>10.1109/INFOCOM53939.2023.10229000</t>
  </si>
  <si>
    <t>Experimental and computational comparison of freeze-thaw induced pressure generation in red and sugar maple</t>
  </si>
  <si>
    <t>10.1109/ACCESS.2023.3304245</t>
  </si>
  <si>
    <t>The Untapped Potential of Tree Size in Reconstructing Evolutionary and Epidemiological Dynamics</t>
  </si>
  <si>
    <t>Least-Restrictive Multi-agent Collision Avoidance via Deep Meta Reinforcement Learning and Optimal Control</t>
  </si>
  <si>
    <t>10.1007/978-3-031-26889-2_19</t>
  </si>
  <si>
    <t>Detection and Attribution of Changes in Precipitation Extremes in China and Its Different Climate Zones</t>
  </si>
  <si>
    <t>10.1080/07350015.2021.2019046</t>
  </si>
  <si>
    <t>Stellar Populations With Optical Spectra: Deep Learning vs. Popular Spectrum Fitting Codes</t>
  </si>
  <si>
    <t>The Effect of a Finite Circular Groundplane on Monopole Impedance</t>
  </si>
  <si>
    <t>10.1109/EMTS57498.2023.10925248</t>
  </si>
  <si>
    <t>The Devil is Mainly in the Nuisance Parameters: Performance of Structural Fit Indices Under Misspecified Structural Models in SEM</t>
  </si>
  <si>
    <t>Average Active Element Gain Estimates for Rectangular Arrays</t>
  </si>
  <si>
    <t>10.1109/EMTS57498.2023.10925224</t>
  </si>
  <si>
    <t>Estimating deceiving signatures and their role in the observation of the VBF production mode in the Higgs-Boson decay into two W bosons</t>
  </si>
  <si>
    <t>SARS-CoV-2 transmission in university classes</t>
  </si>
  <si>
    <t>10.1007/s13721-022-00375-1</t>
  </si>
  <si>
    <t>Mechanism and effects of the skeletal muscle Nav1.4 inhibition by cannabidiol</t>
  </si>
  <si>
    <t>10.3390/risks10030054</t>
  </si>
  <si>
    <t>Development and testing of a mechanistic model for wetland treatment of neutral and polar organic contaminants in oil sands process-affected water</t>
  </si>
  <si>
    <t>QUASI-TWO-DIMENSIONAL NUMERICAL MODEL FOR SHOCK WAVE REFORMERS</t>
  </si>
  <si>
    <t>10.1115/GT2022-80865</t>
  </si>
  <si>
    <t>406â€…Population-based BRCA1 and BRCA2 testing in Canada: an economic evaluation</t>
  </si>
  <si>
    <t>IMPLEMENTATION OF THE CONTACT ROUGHNESS AT THE WHEEL-RAIL CONTACT MODEL FOR LOCOMOTIVE TRACTION STUDIES</t>
  </si>
  <si>
    <t>10.1115/JRC2022-84116</t>
  </si>
  <si>
    <t>10.1109/LGRS.2021.3084932</t>
  </si>
  <si>
    <t>Improved phase change properties in layered Sc &lt;sub&gt;x&lt;/sub&gt; In &lt;sub&gt;2âˆ’x&lt;/sub&gt; Se &lt;sub&gt;3&lt;/sub&gt; for multilevel information storage</t>
  </si>
  <si>
    <t>Heterogeneity of human adaptations to bed rest and hypoxia: A retrospective analysis within the skeletal muscle oxidative function</t>
  </si>
  <si>
    <t>10.1152/ajpregu.00053.2021</t>
  </si>
  <si>
    <t>Intraocular pressure during handgrip exercise: The effect of posture and hypercapnia in young males</t>
  </si>
  <si>
    <t>10.14814/phy2.15035</t>
  </si>
  <si>
    <t>Corrigendum to â€œSeasonal development and radiative forcing of red snow algal blooms on two glaciers in British Columbia, Canada, summer 2020â€ [Remote Sensing of Environment 280 (2022) 113164]</t>
  </si>
  <si>
    <t>10.1371/journal.pone.0257005</t>
  </si>
  <si>
    <t>Simulation Engine for Adaptive Telematics data</t>
  </si>
  <si>
    <t>10.1016/j.comnet.2021.107875</t>
  </si>
  <si>
    <t>Trading Simulations and Real Money Outcomes*</t>
  </si>
  <si>
    <t>Localization of brain activity from EEG/MEG using MV-PURE framework</t>
  </si>
  <si>
    <t>10.1016/j.bspc.2020.102243</t>
  </si>
  <si>
    <t>ASSESSING THE SIMILARITIES OF 3D SIMULATION MODEL OUTCOMES</t>
  </si>
  <si>
    <t>A MULTIPORT EMBEDDED DC POWER FLOW CONTROLLER FOR ISOP-DCT</t>
  </si>
  <si>
    <t>10.1049/icp.2021.2555</t>
  </si>
  <si>
    <t>Simulation-based mathematics and social justice activities</t>
  </si>
  <si>
    <t>10.1109/WSC52266.2021.9715328</t>
  </si>
  <si>
    <t>10.1109/CDC45484.2021.9683031</t>
  </si>
  <si>
    <t>DFTS2: Deep Feature Transmission Simulation for Collaborative Intelligence</t>
  </si>
  <si>
    <t>OFF-NADIR PHOTOGRAMMETRY FOR AIRBORNE SAR MOTION COMPENSATION: A FIRST STEP</t>
  </si>
  <si>
    <t>10.1109/IGARSS47720.2021.9553861</t>
  </si>
  <si>
    <t>MODELLING AND SIMULATION OF SUSTAINABLE SYSTEMS: AN ENGINEERING DESIGN COURSE PROJECT</t>
  </si>
  <si>
    <t>Diplomacy: The missing ingredient in space security</t>
  </si>
  <si>
    <t>10.1093/oso/9780197548684.003.0013</t>
  </si>
  <si>
    <t>Interactive Simulation of Nonpharmaceutical Interventions of Airborne Disease Transmission in Office Settings</t>
  </si>
  <si>
    <t>Unsafe injection is associated with higher HIV testing after Bayesian adjustment for unmeasured confounding</t>
  </si>
  <si>
    <t>10.34172/aim.2020.113</t>
  </si>
  <si>
    <t>Numerical Simulation of Paper-Based Flow Cells during Dynamic Infiltration Phase</t>
  </si>
  <si>
    <t>10.1109/IECON43393.2020.9254647</t>
  </si>
  <si>
    <t>Counting and sampling gene family evolutionary histories in the duplication-loss and duplication-loss-transfer models</t>
  </si>
  <si>
    <t>10.1007/s00285-019-01465-x</t>
  </si>
  <si>
    <t>Comparison ofÂ Vehicle Dynamics Simulation Results Using Laser andÂ Contact-Based Profilometer Measurements asÂ Inputs</t>
  </si>
  <si>
    <t>Safe Coverage of Compact Domains for Second Order Dynamical Systems</t>
  </si>
  <si>
    <t>10.1016/j.ifacol.2020.12.2286</t>
  </si>
  <si>
    <t>Diversifying beam species through decay and recapture ion trapping: A demonstrative experiment at TITAN-EBIT</t>
  </si>
  <si>
    <t>10.1088/1361-6471/ab6ee1</t>
  </si>
  <si>
    <t>Performance of Competing Methods for Quantile Regression with Count Data: A Simulation Study with Applications for Environmental Epidemiology</t>
  </si>
  <si>
    <t>Empathic Dialog Systems for Patient Intake: Balancing Task-Completion and Emotional Support using RAGs</t>
  </si>
  <si>
    <t>10.1145/3652988.3673968</t>
  </si>
  <si>
    <t>Measuring genetic diversity across populations</t>
  </si>
  <si>
    <t>10.1371/journal.pcbi.1012651</t>
  </si>
  <si>
    <t>Simulation of Proton Exchange Membrane Durability Under Fuel Cell Vehicle Operation â€“ a Fundamental Study</t>
  </si>
  <si>
    <t>Detecting the presence of different Retzius periodicities at the population level from repetitive linear enamel hypoplasia among Lufengpithecus lufengensis and Pongo pygmaeus</t>
  </si>
  <si>
    <t>10.1002/ajpa.25014</t>
  </si>
  <si>
    <t>Simulation of optical and mechanical performance of ultrathin sinusoidal c-Si films for highly flexible photovoltaic applications</t>
  </si>
  <si>
    <t>10.1093/mnras/stae2243</t>
  </si>
  <si>
    <t>Simulation of Cathode Catalyst Durability Under Fuel Cell Vehicle Operation - the Effect of Fuel Cell Stack Size</t>
  </si>
  <si>
    <t>Performance of the Pacific Ocean Neutrino Experiment</t>
  </si>
  <si>
    <t>Effect of cysteine oxidation in SARS-CoV-2 Spike protein on its conformational changes: insights from atomistic simulations</t>
  </si>
  <si>
    <t>10.3390/plants13182566</t>
  </si>
  <si>
    <t>Oxidation-induced structural changes in actin and myosin evaluated by computational simulation, machine learning modeling and high-speed AFM</t>
  </si>
  <si>
    <t>A Comparison of Paddle Forces between Whitewater and Flatwater Training in C1 Canoe Slalom</t>
  </si>
  <si>
    <t>10.3390/jfmk9030167</t>
  </si>
  <si>
    <t>Assessing the influence of calibration methodology and model structure on glacio-hydrological simulations in the Cheakamus River Basin, British Columbia, Canada</t>
  </si>
  <si>
    <t>Beam-induced backgrounds measured in the ATLAS detector during local gas injection into the LHC beam vacuum</t>
  </si>
  <si>
    <t>10.1088/1748-0221/19/06/P06014</t>
  </si>
  <si>
    <t>Portfolio Allocation Using Monte Carlo Simulation and ARIMA Model Targeting Chinese Companies Trading on the US Stock Exchange</t>
  </si>
  <si>
    <t>10.1109/TPEL.2024.3377685</t>
  </si>
  <si>
    <t>Erratum to â€œDesign, simulation, and validation of additively manufactured high-temperature combustion chambers for micro gas turbinesâ€ [Energy Convers. Manage., 248 (2021) 114805]</t>
  </si>
  <si>
    <t>Spatio-Temporal Service Analysis in Multi-Layer Non-Terrestrial Networks</t>
  </si>
  <si>
    <t>10.23919/JCIN.2024.10272368</t>
  </si>
  <si>
    <t>Evaluation of MODIS-based Vegetation Restoration After the 2008 Wenchuan Earthquake</t>
  </si>
  <si>
    <t>How Stringent Should Vehicle Emission Standards Be? Simulating Impacts on Greenhouse Gas Emissions, Zero-Emissions Vehicle Sales, and Cost-Effectiveness</t>
  </si>
  <si>
    <t>10.3138/cpp.2023-002</t>
  </si>
  <si>
    <t>Realization of Efficient Rotational Springs and Series Elastic Actuators Using DC Motors</t>
  </si>
  <si>
    <t>Erratum to: Observation of four-top-quark production in the multilepton final state with the ATLAS detector (Eur. Phys. J. C, (2023), 83, (496), 10.1140/epjc/s10052-023-11573-0)</t>
  </si>
  <si>
    <t>10.1140/epjc/s10052-024-12458-6</t>
  </si>
  <si>
    <t>Comment on tc-2021-359</t>
  </si>
  <si>
    <t>10.1109/EMBC53108.2024.10782799</t>
  </si>
  <si>
    <t>Reply on RC2</t>
  </si>
  <si>
    <t>10.1109/WiMob61911.2024.10770394</t>
  </si>
  <si>
    <t>Reply on RC3</t>
  </si>
  <si>
    <t>10.1109/CASE59546.2024.10711838</t>
  </si>
  <si>
    <t>MIXED METRICS AND THE NEED TO ADJUST REMOTE-SENSING DATA IN THE EVALUATION OF KEY BIODIVERSITY AREAS FOR COLONIAL-NESTING SEABIRDS: AN EXAMPLE WITH GLAUCOUS-WINGED GULLS LARUS GLAUCESCENS</t>
  </si>
  <si>
    <t>10.5038/2074-1235.52.2.1600</t>
  </si>
  <si>
    <t>Reply on RC1</t>
  </si>
  <si>
    <t>10.1109/IWQoS61813.2024.10682947</t>
  </si>
  <si>
    <t>The Canadian Model for Dealing With Asylum Seekers and Refugees</t>
  </si>
  <si>
    <t>10.3389/feduc.2024.1446941</t>
  </si>
  <si>
    <t>Enabling Wide Adoption of Hyperspectral Imaging</t>
  </si>
  <si>
    <t>Impact of the Electrification of Vehicles and Integration of Solar Photovoltaic Systems on Low-voltage Distribution Networks</t>
  </si>
  <si>
    <t>10.1109/CCECE59415.2024.10667099</t>
  </si>
  <si>
    <t>Developing a Machine Intelligence Quotient (MIQ) for evaluating autonomous vehicle intelligence: A Conceptual Framework</t>
  </si>
  <si>
    <t>10.1109/ICCWorkshops59551.2024.10615442</t>
  </si>
  <si>
    <t>George Ignatieff: A feisty disarmament diplomat in the Cold War era</t>
  </si>
  <si>
    <t>10.1109/SysCon61195.2024.10553419</t>
  </si>
  <si>
    <t>State responsibility: Explaining the UKâ€™s exclusive citizenship provision to Hong Kong British National Overseas</t>
  </si>
  <si>
    <t>10.1080/10618600.2024.2335182</t>
  </si>
  <si>
    <t>The Case for Probe-class NASA Astrophysics Missions</t>
  </si>
  <si>
    <t>10.1139/cjc-2023-0232</t>
  </si>
  <si>
    <t>The Computerization of Care Work</t>
  </si>
  <si>
    <t>10.1080/07474938.2024.2334166</t>
  </si>
  <si>
    <t>Reluctant and Illegal Migrants in Mao's China: Civil Defense Evacuation in the Tianjin Region, 1969â€“1980</t>
  </si>
  <si>
    <t>Advanced Technologies in Electric Vehicles</t>
  </si>
  <si>
    <t>10.1016/C2022-0-00431-1</t>
  </si>
  <si>
    <t>Keeping Streams Cool: Disentangling the Impacts of Local Groundwater Discharge vs. Mountain Headwater Contributions During Summer Low FlowsÂ </t>
  </si>
  <si>
    <t>10.1109/CGO57630.2024.10444805</t>
  </si>
  <si>
    <t>Comment on egusphere-2023-2063</t>
  </si>
  <si>
    <t>10.1086/726934</t>
  </si>
  <si>
    <t>10.1109/TKDE.2023.3335248</t>
  </si>
  <si>
    <t>THE MORALISATION OF PREDICTIVITY IN THE AGE OF DATA-DRIVENSURVEILLANCE</t>
  </si>
  <si>
    <t>10.1016/j.ecoleng.2023.107145</t>
  </si>
  <si>
    <t>Effects of 2D and 3D Image Views on Hand Movement Trajectories in the Surgeon's Peri-Personal Space in a Computer Controlled Simulator Environment</t>
  </si>
  <si>
    <t>Bayesian inference of the impulse-response model of athlete training and performance</t>
  </si>
  <si>
    <t>10.1080/24748668.2023.2268480</t>
  </si>
  <si>
    <t>10.1080/03610918.2022.2155313</t>
  </si>
  <si>
    <t>10.1080/14763141.2022.2088401</t>
  </si>
  <si>
    <t>Comment on egusphere-2023-420</t>
  </si>
  <si>
    <t>10.1109/GLOBECOM52923.2024.10901313</t>
  </si>
  <si>
    <t>10.1109/GLOBECOM52923.2024.10901333</t>
  </si>
  <si>
    <t>Reply on CC1</t>
  </si>
  <si>
    <t>Joint Multiple Access Based on RSMA for Integrated Satellite-Terrestrial Network</t>
  </si>
  <si>
    <t>10.1109/GLOBECOM52923.2024.10901078</t>
  </si>
  <si>
    <t>10.1364/OE.504854</t>
  </si>
  <si>
    <t>Interaction-Driven Active 3D Reconstruction with Object Interiors</t>
  </si>
  <si>
    <t>10.1145/3618327</t>
  </si>
  <si>
    <t>Comment on egusphere-2024-1031</t>
  </si>
  <si>
    <t>Detection and characterization of discontinuous motion on Thompson Glacier, Canadian High Arctic, using synthetic aperture radar speckle tracking and ice-flow modeling</t>
  </si>
  <si>
    <t>10.1017/jog.2023.67</t>
  </si>
  <si>
    <t>Estimating the epidemiological impact of reaching the objectives of the Florida integrated HIV prevention and care plan in Miami-Dade County</t>
  </si>
  <si>
    <t>10.1016/j.lana.2023.100623</t>
  </si>
  <si>
    <t>Terrestrial overview of a landslide-tsunami-flood cascade at Elliot Creek, British Columbia&amp;amp;#160;</t>
  </si>
  <si>
    <t>The utility of SARS-CoV-2 genomic data for informative clustering under different epidemiological scenarios and sampling</t>
  </si>
  <si>
    <t>10.1016/j.meegid.2023.105484</t>
  </si>
  <si>
    <t>â€œI wanted to be a responsible public health professionalâ€: applying serious games for deep learning in global health courses</t>
  </si>
  <si>
    <t>10.1007/s00180-023-01340-w</t>
  </si>
  <si>
    <t>Investigation of prehistoric landslide dams in the central Andes of Chile and Argentina</t>
  </si>
  <si>
    <t>10.1145/3606037.3606840</t>
  </si>
  <si>
    <t>P038â€…Prevalence of syphilis in people living with HIV/AIDS in the Americas: a systematic review and meta-analysis of prevalence studies</t>
  </si>
  <si>
    <t>10.1016/j.nimb.2023.05.012</t>
  </si>
  <si>
    <t>Network Analysis of SFU Course Registrations</t>
  </si>
  <si>
    <t>10.1177/09622802231176034</t>
  </si>
  <si>
    <t>AN ADAPTIVE TEST OF STOCHASTIC MONOTONICITY</t>
  </si>
  <si>
    <t>Bayesian single-to-double arm transition design using both short-term and long-term endpoints</t>
  </si>
  <si>
    <t>10.1002/pst.2292</t>
  </si>
  <si>
    <t>Preservation and destruction of Holocene marine terraces: the effects of episodic versus gradual relative sea level change</t>
  </si>
  <si>
    <t>10.1016/j.jeconom.2022.01.011</t>
  </si>
  <si>
    <t>Improvement of Range and Sensitivity of the Direct Ion Wind Gyroscope</t>
  </si>
  <si>
    <t>10.1089/neur.2023.0006</t>
  </si>
  <si>
    <t>Radio Frequency Cavity’s Analytical Model and Control Design</t>
  </si>
  <si>
    <t>10.3390/vibration6020020</t>
  </si>
  <si>
    <t>LEAP: A Deep Learning based Aging-Aware Architecture Exploration Framework for FPGAs</t>
  </si>
  <si>
    <t>10.1016/j.rico.2023.100203</t>
  </si>
  <si>
    <t>10.3389/feart.2022.1129733</t>
  </si>
  <si>
    <t>Molecular Dynamics Study on the Shock Induced Spallation of Polyethylene</t>
  </si>
  <si>
    <t>10.1155/2023/5532174</t>
  </si>
  <si>
    <t>Urban City: Crime Attractors and Offender Mobility</t>
  </si>
  <si>
    <t>10.1109/SEGE59172.2023.10274584</t>
  </si>
  <si>
    <t>Design and Application Analysis of Virtual Reality-based Visual Biostatistics System: A Multi-Perspective Approach</t>
  </si>
  <si>
    <t>10.14733/cadaps.2023.S14.33-49</t>
  </si>
  <si>
    <t>Computational Screening Of Non-copper-based Catalysts For Electrochemical CO2 Reduction Reaction</t>
  </si>
  <si>
    <t>Nuclear Threats and Canada’s Disarmament Diplomacy</t>
  </si>
  <si>
    <t>10.1080/25751654.2023.2219488</t>
  </si>
  <si>
    <t>Finite Element Method Modeling of the Wire Thickness of a Monopole on a Circular Ground Plane</t>
  </si>
  <si>
    <t>10.1007/978-3-031-18461-1_32</t>
  </si>
  <si>
    <t>Author Response to RC1 and RC2</t>
  </si>
  <si>
    <t>10.1159/000525650</t>
  </si>
  <si>
    <t>Emulating loss of coolant simulations in a pressurized heavy water reactor</t>
  </si>
  <si>
    <t>10.1016/j.anucene.2022.109311</t>
  </si>
  <si>
    <t>10.1016/j.scitotenv.2022.157685</t>
  </si>
  <si>
    <t>Comment on egusphere-2024-871</t>
  </si>
  <si>
    <t>Equation balance in time series analysis: Lessons learned and lessons needed</t>
  </si>
  <si>
    <t>10.1017/psrm.2022.51</t>
  </si>
  <si>
    <t>Geodesy and geophysical applications for large raptor ecological research</t>
  </si>
  <si>
    <t>Effective Crowd Management in a T-Intersection</t>
  </si>
  <si>
    <t>Geophysical techniques and applications for animal ecological research: The case of Light Detection and Ranging (LiDAR)</t>
  </si>
  <si>
    <t>Estimating Genetic Similarity Matrices using Phylogenies</t>
  </si>
  <si>
    <t>Moment matching adaptive importance sampling with skew-student proposals</t>
  </si>
  <si>
    <t>10.1515/mcma-2022-2106</t>
  </si>
  <si>
    <t>Maximum Gain Estimates for Corporate-Fed Arrays</t>
  </si>
  <si>
    <t>A microanalysis of learner questions and tutor guidance in simulation-assisted inquiry learning</t>
  </si>
  <si>
    <t>10.1111/jcal.12637</t>
  </si>
  <si>
    <t>10.1371/journal.pone.0259511</t>
  </si>
  <si>
    <t>Cloud-Edge Motion by a Ducted Gravity Wave</t>
  </si>
  <si>
    <t>Individual Variation Exists Within the Psychological Response to Hypoxic Bed Rest: A Retrospective Analysis</t>
  </si>
  <si>
    <t>10.3389/fphys.2022.810055</t>
  </si>
  <si>
    <t>10.32614/RJ-2023-018</t>
  </si>
  <si>
    <t>Optimal Consensus Control Models on the Sphere</t>
  </si>
  <si>
    <t>10.1109/IEMCON56893.2022.9946596</t>
  </si>
  <si>
    <t>Passive Acoustic Monitoring Power Analysis: A Tool for Designing an Acoustic Monitoring Program</t>
  </si>
  <si>
    <t>Fast Switching of High Current WBG Power Devices</t>
  </si>
  <si>
    <t>10.30420/565822136</t>
  </si>
  <si>
    <t>Sidelobe Accuracy from Planar Near Fields</t>
  </si>
  <si>
    <t>Investigating Historical Crime Importance in Vancouver via Temporal-Spatial Crime Pattern Theory</t>
  </si>
  <si>
    <t>10.1007/978-3-030-89906-6_39</t>
  </si>
  <si>
    <t>10.1007/978-3-030-89906-6_35</t>
  </si>
  <si>
    <t>Investigation of Flexible PCB-Based Ring Array of Slots Using Phase-Mode Analysis</t>
  </si>
  <si>
    <t>10.1080/09546553.2020.1763962</t>
  </si>
  <si>
    <t>On the time to first spotting in wildland fires</t>
  </si>
  <si>
    <t>10.1080/03610918.2019.1696972</t>
  </si>
  <si>
    <t>Datasets for a simulated family-based exome-sequencing study</t>
  </si>
  <si>
    <t>A data assimilation framework that uses the Kullback-Leibler divergence</t>
  </si>
  <si>
    <t>10.1371/journal.pone.0256584</t>
  </si>
  <si>
    <t>Enhanced Sensitivity in Photovoltaic 2D MoS &lt;sub&gt;2&lt;/sub&gt; /Te Heterojunction VOC Sensors (Small 49/2024)</t>
  </si>
  <si>
    <t>10.1007/s10985-021-09520-w</t>
  </si>
  <si>
    <t>Detection of Electric and Magnetic Dipole Moments Using a Three Loop Antenna System</t>
  </si>
  <si>
    <t>10.1109/JSEN.2020.3029433</t>
  </si>
  <si>
    <t>Implementation, performance and physics impact of particle identification at Higgs factories</t>
  </si>
  <si>
    <t>10.1109/MSN53354.2021.00099</t>
  </si>
  <si>
    <t>Comparison of Gate-drive Switching Control for GaN HEMT Power Devices</t>
  </si>
  <si>
    <t>TECHNO‐ECONOMIC ASSESSMENT FOR INSTALLATION OF INVELOX WIND TURBINES IN NORTHERN IRAN</t>
  </si>
  <si>
    <t>10.18485/AELETTERS.2021.6.4.1</t>
  </si>
  <si>
    <t>W-type double clad fiber mitigates multipath artifacts in multimodal optical coherence tomography</t>
  </si>
  <si>
    <t>MULTISCALE SIMULATION-BASED MIXED TRAIN DERAILMENT ANALYSIS: A CASE STUDY</t>
  </si>
  <si>
    <t>10.1115/JRC2021-58311</t>
  </si>
  <si>
    <t>Geometric effects on carrier collection in core–shell nanowire p–n junctions</t>
  </si>
  <si>
    <t>10.1088/2399-1984/AC094C</t>
  </si>
  <si>
    <t>Neural Networks as Functional Classifiers</t>
  </si>
  <si>
    <t>10.1007/978-3-030-67973-6_6</t>
  </si>
  <si>
    <t>Enhancing User-Centric Multimedia Services Using Digital Twin-Based Caching and Computing Optimization</t>
  </si>
  <si>
    <t>Hidden energy flows in strongly coupled nonequilibrium systems</t>
  </si>
  <si>
    <t>10.1209/0295-5075/133/10003</t>
  </si>
  <si>
    <t>Assessing Classifier Fairness with Collider Bias</t>
  </si>
  <si>
    <t>10.1088/1748-0221/16/01/P01010</t>
  </si>
  <si>
    <t>A quantum model for decision support in a sensor network</t>
  </si>
  <si>
    <t>10.1007/978-3-030-55190-2_26</t>
  </si>
  <si>
    <t>Concurrent Backscatter for Smart Logistics</t>
  </si>
  <si>
    <t>Handling missing birthdates in marginal regression analysis with recurrent events</t>
  </si>
  <si>
    <t>10.1080/03610918.2018.1554106</t>
  </si>
  <si>
    <t>Computationally Efficient Subglacial Drainage Modeling Using Gaussian Process Emulators</t>
  </si>
  <si>
    <t>10.1002/cjs.11550</t>
  </si>
  <si>
    <t>TKSM: Highly modular, user-customizable, and scalable transcriptomic sequencing long-read simulator</t>
  </si>
  <si>
    <t>Development of a continuously tunable titanium-sapphire laser system for the ARIEL laser ion source</t>
  </si>
  <si>
    <t>10.1007/s10751-020-1703-7</t>
  </si>
  <si>
    <t>Computational Design of Two-dimensional Materials for Electrocatalysis</t>
  </si>
  <si>
    <t>Linear time stable PD controllers for physics-based character animation</t>
  </si>
  <si>
    <t>Ground Plane Proximity Effects in Three-Loop Antenna Systems</t>
  </si>
  <si>
    <t>Reconfigurable Accelerator Compute Hierarchy: A Case Study using Content-Based Image Retrieval</t>
  </si>
  <si>
    <t>10.1109/IISWC50251.2020.00034</t>
  </si>
  <si>
    <t>Supplementary Material of 'On the Estimation of Jump-Diffusion Models Using High-Frequency Data: A Filtering-Based Approach'</t>
  </si>
  <si>
    <t>10.1017/jog.2020.45</t>
  </si>
  <si>
    <t>10.1007/s11222-020-09941-x</t>
  </si>
  <si>
    <t>Rectangular Phased Array Scanning Loss Error When the Active Element Patterns are Calibrated at Boresight or Approximated by a Unit-cell</t>
  </si>
  <si>
    <t>Turning 3D data surveys of intertidal zones into new modes of 3D visualization, simulation and spatial interface experiences</t>
  </si>
  <si>
    <t>10.5194/isprs-archives-XLIII-B4-2020-791-2020</t>
  </si>
  <si>
    <t>Robust Predictor Feedback Input Delay Compensation with Application to Daylight Harvesting Control</t>
  </si>
  <si>
    <t>Assessment of Dynamic Instabilities in Weak Grids with High Penetration of Power Electronic Loads</t>
  </si>
  <si>
    <t>10.1109/SEGE49949.2020.9182001</t>
  </si>
  <si>
    <t>Logicâ€based spaceâ€vector modulation for neutralâ€pointâ€clamped multilevel inverter with DCâ€link voltage balancing capability</t>
  </si>
  <si>
    <t>Improved phase change properties in layered ScxIn2-xSe3 for multilevel information storage</t>
  </si>
  <si>
    <t>10.1088/1361-6463/ab7e68</t>
  </si>
  <si>
    <t>ä¿„ä¹Œå†²çªä¸‹çš„ç²®é£Ÿå®‰å…¨é—®é¢˜å®šé‡åˆ†æž (A Quantitative Analysis on the Impact of the Russia-Ukraine Conflict on Food Security)</t>
  </si>
  <si>
    <t>10.1109/IEEECONF35879.2020.9329819</t>
  </si>
  <si>
    <t>A More Accurate Theory of Behavior in Continuous Double Auctions</t>
  </si>
  <si>
    <t>10.1109/IEEECONF35879.2020.9329708</t>
  </si>
  <si>
    <t>A Semiparametric Twoâ€Sample Density Ratio Model With a Change Point</t>
  </si>
  <si>
    <t>10.1109/ISIE45063.2020.9152226</t>
  </si>
  <si>
    <t>Brief communication: A numerical tool for averaging large data sets of snow stratigraphy profiles useful for avalanche forecasting</t>
  </si>
  <si>
    <t>10.1103/PhysRevE.101.042603</t>
  </si>
  <si>
    <t>Data for "Inferring potential landscapes from noisy particle trajectories within an optical feedback trap"</t>
  </si>
  <si>
    <t>Where to enhance rural palliative care? Developing a spatial model to identify suitable communities most in need of service enhancement</t>
  </si>
  <si>
    <t>10.1186/s12913-020-5024-y</t>
  </si>
  <si>
    <t>Datasets for a Simulated Family-Based Exome-Sequencing Study</t>
  </si>
  <si>
    <t>A comparison of methods for identifying location effects in unreplicated fractional factorials in the presence of dispersion effects</t>
  </si>
  <si>
    <t>10.1080/00224065.2019.1569960</t>
  </si>
  <si>
    <t>Regression Analysis of Spatially Correlated Event Durations With Missing Origins Annotated by Longitudinal Measures</t>
  </si>
  <si>
    <t>10.1080/08982112.2020.1814959</t>
  </si>
  <si>
    <t>Adaptive Grouping Access Based on Rate-Splitting Multiple Access for Multibeam Satellite System</t>
  </si>
  <si>
    <t>Aesthetic Judgments, Movement Perception and the Neural Architecture of the Visual System</t>
  </si>
  <si>
    <t>10.1007/978-3-030-25719-4_70</t>
  </si>
  <si>
    <t>Editorial: JCMS Special Issue of the first Conference on AI Music Creativity</t>
  </si>
  <si>
    <t>10.1029/2024RS008068</t>
  </si>
  <si>
    <t>Structured landscapes promote persistence by favouring prudent predators</t>
  </si>
  <si>
    <t>A Semiparametric Two-Sample Density Ratio Model With a Change Point</t>
  </si>
  <si>
    <t>10.1002/bimj.202300214</t>
  </si>
  <si>
    <t>Cost, Innovation, and Emissions Leakage from Overlapping Climate Policy</t>
  </si>
  <si>
    <t>A generative approach to frame-level multi-competitor races</t>
  </si>
  <si>
    <t>10.1515/jqas-2023-0091</t>
  </si>
  <si>
    <t>Common-Mode Voltages Reduction Space Vector Modulation for Active Neutral-Point-Clamped converter</t>
  </si>
  <si>
    <t>State responsibility: Explaining the UK’s exclusive citizenship provision to Hong Kong British National Overseas</t>
  </si>
  <si>
    <t>10.1177/01171968241310287</t>
  </si>
  <si>
    <t>äº¤å çš„ç§˜å¯† (The Secret Behind Staggered: A Primer to Staggered DID in the Field of Empirical Economics)</t>
  </si>
  <si>
    <t>Acoustic signatures of ultra-high-energy neutrinos</t>
  </si>
  <si>
    <t>Soft Splicing Model: Bridging the Gap between Composite Model and Finite Mixture Model</t>
  </si>
  <si>
    <t>10.3390/ijerph21111413</t>
  </si>
  <si>
    <t>Applications of Photogrammetry for Environmental Research</t>
  </si>
  <si>
    <t>The international law of detente: Arms control, European security, and East-West cooperation</t>
  </si>
  <si>
    <t>10.1163/9789004641488</t>
  </si>
  <si>
    <t>Fall Prediction for Self-Balancing Lower-Limb Exoskeletons Using Gaussian Process Classification</t>
  </si>
  <si>
    <t>10.1175/JAS-D-23-0092.1</t>
  </si>
  <si>
    <t>MCMC samples from an analysis reported in a paper titled "A Song of Neither Ice nor Fire: Temperature extremes had no impact on violent conflict among European societies during the 2nd millennium"</t>
  </si>
  <si>
    <t>Bases for optimising stabiliser decompositions of quantum states</t>
  </si>
  <si>
    <t>10.1088/2058-9565/ad53fc</t>
  </si>
  <si>
    <t>10.1002/gepi.22579</t>
  </si>
  <si>
    <t>Development of Calibration Light Sources for the Pacific Ocean Neutrino Experiment</t>
  </si>
  <si>
    <t>Pacific Ocean Neutrino Experiment: Expected performance of the first cluster of strings</t>
  </si>
  <si>
    <t>Balancing the Capacitor Voltage Drift in Neutral Point Clamped Converters</t>
  </si>
  <si>
    <t>Machine-learning aided detector optimization of the Pacific Ocean Neutrino Experiment</t>
  </si>
  <si>
    <t>Evidence for universal flow and characteristics of early time thermalization in a scalar field model for heavy ion collisions</t>
  </si>
  <si>
    <t>10.1103/PhysRevD.110.056020</t>
  </si>
  <si>
    <t>Constraining the Selection-corrected Luminosity Function and Total Pulse Count for Radio Transients</t>
  </si>
  <si>
    <t>10.3847/1538-4357/ad53c5</t>
  </si>
  <si>
    <t>Non-Orthogonal Broadcast and Unicast Transmission Based on Novel Centralized Frequency Reuse for Multibeam Satellite System</t>
  </si>
  <si>
    <t>10.1109/JSEN.2024.3393354</t>
  </si>
  <si>
    <t>OSK: Optimal Subsampling Method Based on K-means Clustering for Imbalanced Big Data</t>
  </si>
  <si>
    <t>Threshold bounce — occupancy-dependent modulation of the discriminating threshold in silicon detectors</t>
  </si>
  <si>
    <t>10.1088/1748-0221/19/06/P06041</t>
  </si>
  <si>
    <t>10.1007/s41669-024-00481-y</t>
  </si>
  <si>
    <t>Stochastic Approach for Evaluating the Operation of Electric Power Distribution Systems</t>
  </si>
  <si>
    <t>SIMULTANEOUS FUNCTIONAL QUANTILE REGRESSION</t>
  </si>
  <si>
    <t>10.5705/ss.202021.0248</t>
  </si>
  <si>
    <t>Robust Partitioned Visual Servoing for Aerial Manipulation Utilizing Controllable-space Image Planning and Adaptive Image Representation</t>
  </si>
  <si>
    <t>Autogenic Formation of Bimodal Grain Size Distributions in Rivers and its Contribution to Gravel-sand Transitions</t>
  </si>
  <si>
    <t>Modelling and Control of Longitudinal Vibrations in a Radio Frequency Cavity</t>
  </si>
  <si>
    <t>10.3390/vibration7010007</t>
  </si>
  <si>
    <t>Introduction</t>
  </si>
  <si>
    <t>10.1109/LACAP63752.2024.10876332</t>
  </si>
  <si>
    <t>Function-on-Function Regression Models With Nonlinear Dynamic Effect and Linear Concurrent Effect</t>
  </si>
  <si>
    <t>IMPLEMENTING LOW-COST ADCS FOR 1U CUBESAT: INSIGHTS FROM ALEASAT</t>
  </si>
  <si>
    <t>10.52202/078365-0134</t>
  </si>
  <si>
    <t>Biometrics</t>
  </si>
  <si>
    <t>10.1016/B978-0-443-13223-0.00072-2</t>
  </si>
  <si>
    <t>Effect of Pilot Injection Pressure on Ignition Characteristics of a Micro-Pilot Ignition Natural Gas Combustion</t>
  </si>
  <si>
    <t>10.1109/IROS58592.2024.10802068</t>
  </si>
  <si>
    <t>Daylight Harvesting with Nonlinear Neural Network Control for Supplemental Lighting Systems with Saturated Inputs*</t>
  </si>
  <si>
    <t>10.1109/IROS58592.2024.10802740</t>
  </si>
  <si>
    <t>Generalized Grasping for Mechanical Grippers for Unknown Objects with Partial Point Cloud Representations</t>
  </si>
  <si>
    <t>10.1109/IROS58592.2024.10802700</t>
  </si>
  <si>
    <t>Sharpening blunt instruments: Exploiting non-linearities to enhance identification</t>
  </si>
  <si>
    <t>10.23919/ICCAS63016.2024.10773227</t>
  </si>
  <si>
    <t>Modeling and Testing a Time-of-Flight Neutron Emission Spectrometer for General Fusion</t>
  </si>
  <si>
    <t>Highlighting the year’s most transformative research as voted by the editorial board: Exploring knowledge gaps and research needs in respiratory therapy</t>
  </si>
  <si>
    <t>10.29390/001c.126973</t>
  </si>
  <si>
    <t>Effects ofÂ Lighting andÂ Barricades inÂ Crowd Management</t>
  </si>
  <si>
    <t>Applying phylogenetic methods for species delimitation to distinguish B-cell clonal families</t>
  </si>
  <si>
    <t>10.3389/fimmu.2024.1505032</t>
  </si>
  <si>
    <t>New estimates for network sampling</t>
  </si>
  <si>
    <t>Factor IV Estimation in Conditional Moment Models with an Application to Inflation Dynamics</t>
  </si>
  <si>
    <t>10.1093/jjfinec/nbae004</t>
  </si>
  <si>
    <t>Sharpening Blunt Instruments: Exploiting Non-Linearities to Enhance Identification</t>
  </si>
  <si>
    <t>Sustainability Data Analytics: an Integrated Data-lnformed Approach for Assessing the Sustainability of Design Alternatives</t>
  </si>
  <si>
    <t>10.52842/conf.ecaade.2024.1.725</t>
  </si>
  <si>
    <t>Experimental research and analysis of modularity and robustness in target control efficiency of complex networks</t>
  </si>
  <si>
    <t>10.1109/AP-S/INC-USNC-URSI52054.2024.10687142</t>
  </si>
  <si>
    <t>PREFACE: TECHNICAL COMMISSION IV</t>
  </si>
  <si>
    <t>INVESTIGATION OF DRIVER GAS MIXTURES IN A SHOCK WAVE REFORMER FOR ENHANCED HYDROGEN PYROLYSIS</t>
  </si>
  <si>
    <t>10.1115/ES2024-126891</t>
  </si>
  <si>
    <t>Decision Boundary Learning For Safe Vision-based Navigation via Hamilton-Jacobi Reachability Analysis and Support Vector Machine</t>
  </si>
  <si>
    <t>Invited Paper - Virtual Environment: A Tool for Developing Studentsâ€™ Abilities to Apply Mathematics to Real-life Problems</t>
  </si>
  <si>
    <t>ZOBNN: Zero-Overhead Dependable Design of Binary Neural Networks with Deliberately Quantized Parameters</t>
  </si>
  <si>
    <t>10.1109/IOLTS60994.2024.10616090</t>
  </si>
  <si>
    <t>Estimating effects of time-varying exposures on mortality risk</t>
  </si>
  <si>
    <t>Effects of Lighting and Barricades in Crowd Management</t>
  </si>
  <si>
    <t>10.1007/978-3-031-66428-1_14</t>
  </si>
  <si>
    <t>K-Contact Distance for Noisy Nonhomogeneous Spatial Point Data with application to Repeating Fast Radio Burst sources</t>
  </si>
  <si>
    <t>10.1109/ICCA62789.2024.10591810</t>
  </si>
  <si>
    <t>Stability Analysis of a Remote DC Subgrid/Microgrid Connected to a Very Weak AC Grid</t>
  </si>
  <si>
    <t>10.1109/IWCMC61514.2024.10592432</t>
  </si>
  <si>
    <t>10.1109/IWCMC61514.2024.10592388</t>
  </si>
  <si>
    <t>Rendering Super Resolution Video Streaming Efficiently with in-Network Computing</t>
  </si>
  <si>
    <t>MULTI-TEMPORAL ANALYSIS OF THE GEOMORPHIC EVOLUTION OF THE FAILURE SURFACE OF THE VAJONT LANDSLIDE</t>
  </si>
  <si>
    <t>10.4408/IJEGE.2024-01.S-12</t>
  </si>
  <si>
    <t>Development of a Time-of-Flight Neutron Emission Spectrometer for General Fusionâ€™s Fusion Demonstration Program</t>
  </si>
  <si>
    <t>SAR Detection of Bear Dens in Snow</t>
  </si>
  <si>
    <t>Functional Principal Component Analysis for Multiple Variables on Different Riemannian Manifolds</t>
  </si>
  <si>
    <t>Maximum Gain Estimates for Corporate-fed Arrays</t>
  </si>
  <si>
    <t>10.23919/EuCAP60739.2024</t>
  </si>
  <si>
    <t>Reforms to Earnings Supplement Programs in British Columbia:Making Work Pay for Low-Income Workers</t>
  </si>
  <si>
    <t>EMPLOYING REMOTE SENSING AND MULTISPECTRAL SATELLITE DATA TO MEASURE THE EXTENT OF GRAPEVINE AND OLIVE VEGETATION: A CASE STUDY IN THE LANDSCAPE OF WESTERN ROUGH CILICIA, TURKEY</t>
  </si>
  <si>
    <t>10.5040/9781350346680.ch-013</t>
  </si>
  <si>
    <t>Thermal Management Revolution: A Review of Spray Cooling Technologies</t>
  </si>
  <si>
    <t>10.1109/ISGT59692.2024.10454170</t>
  </si>
  <si>
    <t>Multiple Access Strategy for Complex Integrated Satellite-Terrestrial Networks of Multiconstraint and Multicooperation Modes</t>
  </si>
  <si>
    <t>10.1080/02664763.2024.2313459</t>
  </si>
  <si>
    <t>Data for: A further source of Tokyo earthquakes and Pacific Ocean tsunamis</t>
  </si>
  <si>
    <t>Corrigendum to “Seasonal development and radiative forcing of red snow algal blooms on two glaciers in British Columbia, Canada, summer 2020” [Remote Sensing of Environment 280 (2022) 113164] (Remote Sensing of Environment (2022) 280, (S0034425722002784), (10.1016/j.rse.2022.113164))</t>
  </si>
  <si>
    <t>10.1016/j.rse.2023.113873</t>
  </si>
  <si>
    <t>COVID-19 cluster size and transmission rates in schools from crowdsourced case reports</t>
  </si>
  <si>
    <t>10.1080/03461238.2023.2234914</t>
  </si>
  <si>
    <t>10.1080/15427560.2023.2203496</t>
  </si>
  <si>
    <t>Security assistance, securitization, security systems, and insecurity in the Mediterranean mashriq and maghreb</t>
  </si>
  <si>
    <t>10.1080/13629395.2023.2183665</t>
  </si>
  <si>
    <t>10.1109/HPCC64274.2024.00103</t>
  </si>
  <si>
    <t>Comment on egusphere-2024-2418</t>
  </si>
  <si>
    <t>10.1007/978-3-031-50256-9_140</t>
  </si>
  <si>
    <t>Statistics to prioritize rare variants in familyâ€based sequencing studies with disease subtypes</t>
  </si>
  <si>
    <t>Super-Twisting Sliding Mode Output Voltage Controller for Switched Reluctance Generators in Wind Power Applications</t>
  </si>
  <si>
    <t>10.1109/IECON55916.2024.10905393</t>
  </si>
  <si>
    <t>10.1109/GLOBECOM52923.2024.10901118</t>
  </si>
  <si>
    <t>Dynamic network features of functional and structural brain networks support visual working memory in aging adults</t>
  </si>
  <si>
    <t>An Enhanced Resource Selection Scheme for Efficient Intra-Platoon Message Delivery</t>
  </si>
  <si>
    <t>10.1109/GLOBECOM52923.2024.10901456</t>
  </si>
  <si>
    <t>Regression analysis of spatially correlated event durations with missing origins annotated by longitudinal measures</t>
  </si>
  <si>
    <t>10.5705/ss.202021.0118</t>
  </si>
  <si>
    <t>High- pT experimental results on QCD at the LHC</t>
  </si>
  <si>
    <t>An exploration of linkage fine-mapping on sequences from case-control studies</t>
  </si>
  <si>
    <t>10.3390/rs15102583</t>
  </si>
  <si>
    <t>Identifying regions of interest in mammogram images</t>
  </si>
  <si>
    <t>10.1177/09622802231160551</t>
  </si>
  <si>
    <t>10.1177/00207020231178924</t>
  </si>
  <si>
    <t>The Sensitivity Study of a Mechanical Loss Model in Turbocharger System</t>
  </si>
  <si>
    <t>10.1002/gepi.22502</t>
  </si>
  <si>
    <t>Inference of gene-environment interaction from heterogeneous case-parent trios</t>
  </si>
  <si>
    <t>10.3389/fgene.2022.1065568</t>
  </si>
  <si>
    <t>Comparing Automated Posterior Estimation Techniques for Modeling Strong Lenses In Ground-based Survey Data</t>
  </si>
  <si>
    <t>10.1109/Satellite59115.2023.00017</t>
  </si>
  <si>
    <t>A Further Source of Tokyo Earthquakes and Pacific Ocean Tsunamis</t>
  </si>
  <si>
    <t>10.1109/ICECIE58751.2024.10457409</t>
  </si>
  <si>
    <t>10.1109/UEMCON59035.2023.10315990</t>
  </si>
  <si>
    <t>A simplified Python-based kinematic model of particle transport in rivers</t>
  </si>
  <si>
    <t>LAYER-TO-LAYER THERMAL HISTORY PREDICTION FOR THIN WALLS IN METAL ADDITIVE MANUFACTURING</t>
  </si>
  <si>
    <t>10.1115/DETC2023-114997</t>
  </si>
  <si>
    <t>Subspace based Multiple Constrained Minimum Variance (SMCMV) Beamformers</t>
  </si>
  <si>
    <t>10.1016/B978-0-323-99450-7.00007-1</t>
  </si>
  <si>
    <t>Natural Variation of Cervical Spinal Cord and Canal Morphometrics in Non-Human Primates and its Effect on Spinal Cord Injury Mechanics</t>
  </si>
  <si>
    <t>10.1109/SDEMPED54949.2023.10271449</t>
  </si>
  <si>
    <t>SIMULATION-BASED MATHEMATICS AND SOCIAL JUSTICE ACTIVITIES LEARNING FROM STUDENT REFLECTIONS; ATIVIDADES DE MATEMÁTICA E JUSTIÇA SOCIAL EMBASADAS EM SIMULAÇÃO Aprendendo com as reflexões dos alunos; ACTIVIDADES DE JUSTICIA SOCIAL Y MATEMÁTICAS BASADAS EN SIMULACIÓN Aprendiendo de las reflexiones de los estudiantes</t>
  </si>
  <si>
    <t>10.34024/prometeica.2023.27.15303</t>
  </si>
  <si>
    <t>Rule Formation in Simulation-Based Discovery Learning</t>
  </si>
  <si>
    <t>10.1109/EMTS57498.2023.10925301</t>
  </si>
  <si>
    <t>PREFACE: TECHNICAL COMMISSION IV ON SPATIAL INFORMATION SCIENCE</t>
  </si>
  <si>
    <t>10.1016/j.dib.2022.108311</t>
  </si>
  <si>
    <t>Preface: Technical Commission IV on Spatial Information Science</t>
  </si>
  <si>
    <t>Erratum to “Design, simulation, and validation of additively manufactured high-temperature combustion chambers for micro gas turbines” [Energy Convers. Manage., 248 (2021) 114805](S019689042100981X)(10.1016/j.enconman.2021.114805)</t>
  </si>
  <si>
    <t>10.1016/j.enconman.2022.115573</t>
  </si>
  <si>
    <t>Investigation of Driver Gas Mixtures in a Shock Wave Reformer for Enhanced Hydrogen Pyrolysis</t>
  </si>
  <si>
    <t>Low-cost Manufacturing and Testing of Attitude Control Systems for CubeSats</t>
  </si>
  <si>
    <t>Daylight Harvesting with Nonlinear Neural Network Control for Supplemental Lighting Systems with Saturated Inputs∗</t>
  </si>
  <si>
    <t>10.1109/WF-IoT54382.2022.10152163</t>
  </si>
  <si>
    <t>Evaluating methods for B-cell clonal family assignment</t>
  </si>
  <si>
    <t>Investing in monarch conservation: understanding private funding dynamics</t>
  </si>
  <si>
    <t>10.3389/fcosc.2022.903132</t>
  </si>
  <si>
    <t>CONSIDERATION OF ROUGHNESS AND ELASTIC-PLASTIC BEHAVIOR IN A WHEEL-RAIL CONTACT MODELING FOR LOCOMOTIVE TRACTION STUDIES</t>
  </si>
  <si>
    <t>ESTIMATING DERAILMENT RISK USING PARAMETRIC WHEEL-RAIL PROFILE CHARACTERISATION</t>
  </si>
  <si>
    <t>Technological Issues and Research Methodologies for Vultures in India</t>
  </si>
  <si>
    <t>Deep Neural Network (DNN) Based Synthetic Aperture Radar (SAR) Processor</t>
  </si>
  <si>
    <t>A Constrained Robust Switching MPC Structure for Tilt-Rotor UAVs Trajectory Tracking Problem</t>
  </si>
  <si>
    <t>10.1155/2022/2267107</t>
  </si>
  <si>
    <t>10.1007/978-3-031-06791-4_23</t>
  </si>
  <si>
    <t>Transient Stability and Protection Evaluation of Distribution Systems with Distributed Energy Resources</t>
  </si>
  <si>
    <t>10.1007/978-3-030-84474-5_12</t>
  </si>
  <si>
    <t>Structure and Protein-ligand Binding Studies of Pheromone Binding Protein-like Sol g 2.1 Protein from Solenopsis geminata Fire Ant Venom</t>
  </si>
  <si>
    <t>10.1109/IECON48115.2021.9589671</t>
  </si>
  <si>
    <t>Can reforestation help stabilize the climate in net-zero pathways?&amp;amp;#160;</t>
  </si>
  <si>
    <t>Evaluation of MODIS-based Vegetation Restoration after the 2008 Wenchuan Earthquake</t>
  </si>
  <si>
    <t>10.1051/e3sconf/202130802005</t>
  </si>
  <si>
    <t>Semiparametric Mixed-Effects Ordinary Differential Equation Models with Heavy-Tailed Distributions</t>
  </si>
  <si>
    <t>10.1007/s13253-021-00446-2</t>
  </si>
  <si>
    <t>Comment on bg-2022-168</t>
  </si>
  <si>
    <t>10.23919/URSIGASS51995.2021.9560579</t>
  </si>
  <si>
    <t>10.23919/URSIGASS51995.2021.9560196</t>
  </si>
  <si>
    <t>ARumenamides: A novel class of potential anti-arrhythmic compounds</t>
  </si>
  <si>
    <t>10.1109/SEGE52446.2021.9534971</t>
  </si>
  <si>
    <t>Reluctant and Illegal Migrants in Mao's China: Civil Defense Evacuation in the Tianjin Region, 1969-1980</t>
  </si>
  <si>
    <t>10.1017/jch.2020.49</t>
  </si>
  <si>
    <t>An unconsidered source of earthquakes and tsunamis from the Kanto region of Japan</t>
  </si>
  <si>
    <t>Assessing the similarities of 3D simulation model outcomes</t>
  </si>
  <si>
    <t>10.5194/isprs-archives-XLIII-B4-2021-339-2021</t>
  </si>
  <si>
    <t>How Close to the Mark Might Published Heritability Estimates Be?</t>
  </si>
  <si>
    <t>10.24908/pceea.vi0.14897</t>
  </si>
  <si>
    <t>12th International â€œHiroshimaâ€ Symposium on the Development and Application of Semiconductor Tracking Detectors, held on 15â€“18 December, 2019, in Hiroshima, Japan</t>
  </si>
  <si>
    <t>10.1109/PVSC43889.2021.9518957</t>
  </si>
  <si>
    <t>Reformation of African elephant ecology and human quality of life through GIS and remote sensing technologies: A case of African elephant ecology in Botswana</t>
  </si>
  <si>
    <t>Reviewer comment on bg-2022-168</t>
  </si>
  <si>
    <t>Comparison of Speckle Noise Filters on Crop Classification Based on Sentinel-1 Sar Time-Series</t>
  </si>
  <si>
    <t>10.1109/InGARSS51564.2021.9791938</t>
  </si>
  <si>
    <t>10.1109/VCIP53242.2021.9675344</t>
  </si>
  <si>
    <t>10.1109/ECCE47101.2021.9595229</t>
  </si>
  <si>
    <t>10.1109/ECCE47101.2021.9595344</t>
  </si>
  <si>
    <t>The sensitivity study of a mechanical loss model in turbocharger system</t>
  </si>
  <si>
    <t>10.1115/ICEF2020-2951</t>
  </si>
  <si>
    <t>10.1007/978-3-030-63089-8_6</t>
  </si>
  <si>
    <t>Logic-based space-vector modulation for neutral-point-clamped multilevel inverter with dc-link voltage balancing capability</t>
  </si>
  <si>
    <t>10.1049/iet-pel.2020.0594</t>
  </si>
  <si>
    <t>Hydrogen Adsorption on Pristine Graphene at Room Temperature</t>
  </si>
  <si>
    <t>Handling coarsened age information in the analysis of emergency department presentations</t>
  </si>
  <si>
    <t>10.1186/s12874-020-01181-x</t>
  </si>
  <si>
    <t>Evaluation of Porous Media Gas Diffusion Models for PEMFC Applications</t>
  </si>
  <si>
    <t>10.1109/IEEECONF35879.2020.9330408</t>
  </si>
  <si>
    <t>Editor's evaluation: Phylodynamics of SARS-CoV-2 in France, Europe, and the world in 2020</t>
  </si>
  <si>
    <t>Overcoming distrust: How state-owned enterprises adapt their foreign entries to institutional pressures abroad</t>
  </si>
  <si>
    <t>10.4337/9781788978927.00023</t>
  </si>
  <si>
    <t>Potential applications of multi-sensor remote sensing in rock mass characterization</t>
  </si>
  <si>
    <t>Implementation research for today's HIV response: from theory to applied insights</t>
  </si>
  <si>
    <t>Author response: COVID-19 cluster size and transmission rates in schools from crowdsourced case reports</t>
  </si>
  <si>
    <t>&lt;i&gt;Planck&lt;/i&gt;2018 results</t>
  </si>
  <si>
    <t>&lt;i&gt;Planck&lt;/i&gt; intermediate results</t>
  </si>
  <si>
    <t>Periodic Wrinkleâ€Patterned Singleâ€Crystalline Ferroelectric Oxide Membranes with Enhanced Piezoelectricity</t>
  </si>
  <si>
    <t>The 28 November 2020 Landslide, Tsunami, and Outburst Flood â€“ A Hazard Cascade Associated With Rapid Deglaciation at Elliot Creek, British Columbia, Canada</t>
  </si>
  <si>
    <t>The Worldwide C3S CORDEX Grand Ensemble: A Major Contribution to Assess Regional Climate Change in the IPCC AR6 Atlas</t>
  </si>
  <si>
    <t>Antarctic sea ice over the past 130â€‰000 years â€“ Part 1: a review of what proxy records tell us</t>
  </si>
  <si>
    <t>Selfâ€Assembled Epitaxial Ferroelectric Oxide Nanospring with Superâ€Scalability</t>
  </si>
  <si>
    <t>Mass measurements of neutron-rich gallium isotopes refine production of nuclei of the first &lt;mml:math xmlns:mml="http://www.w3.org/1998/Math/MathML"&gt;&lt;mml:mi&gt;r&lt;/mml:mi&gt;&lt;/mml:math&gt;-process abundance peak in neutron-star merger calculations</t>
  </si>
  <si>
    <t>Antarctic sea ice over the past 130,000 years, Part 1: A review of what proxy records tell us</t>
  </si>
  <si>
    <t>Structure studies of &lt;mml:math xmlns:mml="http://www.w3.org/1998/Math/MathML"&gt;&lt;mml:mmultiscripts&gt;&lt;mml:mi&gt;Be&lt;/mml:mi&gt;&lt;mml:mprescripts/&gt;&lt;mml:none/&gt;&lt;mml:mn&gt;13&lt;/mml:mn&gt;&lt;/mml:mmultiscripts&gt;&lt;/mml:math&gt; from the &lt;mml:math xmlns:mml="http://www.w3.org/1998/Math/MathML"&gt;&lt;mml:mrow&gt;&lt;mml:mmultiscripts&gt;&lt;mml:mi&gt;Be&lt;/mml:mi&gt;&lt;mml:mprescripts/&gt;&lt;mml:none/&gt;&lt;mml:mn&gt;12&lt;/mml:mn&gt;&lt;/mml:mmultiscripts&gt;&lt;mml:mo&gt;(&lt;/mml:mo&gt;&lt;mml:mi&gt;d&lt;/mml:mi&gt;&lt;mml:mo&gt;,&lt;/mml:mo&gt;&lt;mml:mi&gt;p&lt;/mml:mi&gt;&lt;mml:mo&gt;)&lt;/mml:mo&gt;&lt;/mml:mrow&gt;&lt;/mml:math&gt; reaction in inverse kinematics on a solid deuteron target</t>
  </si>
  <si>
    <t xml:space="preserve">OpenAlex Title </t>
  </si>
  <si>
    <t>OpenAlex Citations</t>
  </si>
  <si>
    <t>SciVal Title</t>
  </si>
  <si>
    <t>SciVal Citations</t>
  </si>
  <si>
    <t>Functional and versatile superhydrophobic coatings via stoichiometric silanization</t>
  </si>
  <si>
    <t>A review of primary technologies of thin-film solar cells</t>
  </si>
  <si>
    <t>Opioid agonist treatment and risk of mortality during opioid overdose public health emergency: Population based retrospective cohort study</t>
  </si>
  <si>
    <t>Optical observation of single spins in silicon</t>
  </si>
  <si>
    <t>Material properties and structure of natural graphite sheet</t>
  </si>
  <si>
    <t>Dimensional diversity (0D, 1D, 2D, and 3D) in perovskite solar cells: exploring the potential of mixed-dimensional integrations</t>
  </si>
  <si>
    <t>Recent progress in bismuth-based high Curie temperature piezo-/ferroelectric perovskites for electromechanical transduction applications</t>
  </si>
  <si>
    <t>Roadmap on energy harvesting materials</t>
  </si>
  <si>
    <t>The mechanism and sorption kinetic analysis of hydrogen storage at room temperature using acid functionalized carbon nanotubes</t>
  </si>
  <si>
    <t>Production and supply of a-particle-emitting radionuclides for targeted a-therapy</t>
  </si>
  <si>
    <t>Direct in vivo CAR T cell engineering</t>
  </si>
  <si>
    <t>Muon spin spectroscopy</t>
  </si>
  <si>
    <t>Scrutinizing the charge storage mechanism in SrO based composites for asymmetric supercapacitors by diffusion-controlled process</t>
  </si>
  <si>
    <t>Review of transfer learning in modeling additive manufacturing processes</t>
  </si>
  <si>
    <t>What Drives Successful Economic Diversification in Resource-Rich Countries?</t>
  </si>
  <si>
    <t>Production, purification, and radiolabeling of the 203Pb/212Pb theranostic pair</t>
  </si>
  <si>
    <t>Optimizing electrochemical performance of sonochemically and hydrothermally synthesized cobalt phosphate for supercapattery devices</t>
  </si>
  <si>
    <t>Exploring the synergetic electrochemical performance of cobalt sulfide/cobalt phosphate composites for supercapatteryÂ devices with high-energy and rate capability</t>
  </si>
  <si>
    <t>Dealer: An end-to-end model marketplace with differential privacy</t>
  </si>
  <si>
    <t>Perspective on 3D-designed micro-supercapacitors</t>
  </si>
  <si>
    <t>Binary composites of nickel-manganese phosphates for supercapattery devices</t>
  </si>
  <si>
    <t>Effect of IrO6 Octahedron Distortion on the OER Activity at (100) IrO2 Thin Film</t>
  </si>
  <si>
    <t>Evolving Absorptive Capacity: The Mediating Role of Systematic Knowledge Management</t>
  </si>
  <si>
    <t>Improving the water management in anion-exchange membrane fuel cells &lt;i&gt;via&lt;/i&gt; ultra-thin, directly deposited solid polymer electrolyte</t>
  </si>
  <si>
    <t>Rudorffites and Beyond: Perovskite-Inspired Silver/Copper Pnictohalides for Next-Generation Environmentally Friendly Photovoltaics and Optoelectronics</t>
  </si>
  <si>
    <t>Electrocatalytic oxygen reduction reaction on iron phthalocyanine-modified carbide-derived carbon/carbon nanotube composite electrocatalysts</t>
  </si>
  <si>
    <t>Progress and Perspectives of Lithium Aluminum Germanium Phosphateâ€Based Solid Electrolytes for Lithium Batteries</t>
  </si>
  <si>
    <t>Emerging wearable flexible sensors for sweat analysis</t>
  </si>
  <si>
    <t>A new quantitative drug checking technology for harm reduction: Pilot study in Vancouver, Canada using paper spray mass spectrometry</t>
  </si>
  <si>
    <t>Recent advances in nanomaterials based biosensors</t>
  </si>
  <si>
    <t>FabriClick: Interweaving pushbuttons into fabrics using 3d printing and digital embroidery</t>
  </si>
  <si>
    <t>Plastic Waste Mitigation Strategies: A Review of Lessons from Developing Countries</t>
  </si>
  <si>
    <t>The effect of surface roughness on capillary rise in micro-grooves</t>
  </si>
  <si>
    <t>Toward artificial intelligence and machine learning-enabled frameworks for improved predictions ofÂ lifecycle environmental impacts of functional materials and devices</t>
  </si>
  <si>
    <t>Emerging Trends in 2D Flexible Electronics</t>
  </si>
  <si>
    <t>Cobalt-, iron- and nitrogen-containing ordered mesoporous carbon-based catalysts for anion-exchange membrane fuel cell cathode</t>
  </si>
  <si>
    <t>3D designed battery-free wireless origami pressure sensor</t>
  </si>
  <si>
    <t>Exploring the synergetic electrochemical performance of cobalt sulfide/cobalt phosphate composites for supercapattery devices with high-energy and rate capability</t>
  </si>
  <si>
    <t>Quantitative pH Determination Based on the Dominant Wavelength Analysis of Commercial Test Strips</t>
  </si>
  <si>
    <t>Bulk Photovoltaic Effect in Two-Dimensional Distorted MoTe&lt;sub&gt;2&lt;/sub&gt;</t>
  </si>
  <si>
    <t>Acid dyeing for green solvent processing of solvent resistant semiconducting organic thin films</t>
  </si>
  <si>
    <t>Instability of dye-sensitized solar cells using natural dyes and approaches to improving stability – An overview</t>
  </si>
  <si>
    <t>3D Printing Technology: Role in Safeguarding Food Security</t>
  </si>
  <si>
    <t>Lighting the future: Perovskite nanorods and their advances across applications</t>
  </si>
  <si>
    <t>A 3D-printed neuromorphic humanoid hand for grasping unknown objects</t>
  </si>
  <si>
    <t>Improving the water management in anion-exchange membrane fuel cells: via ultra-thin, directly deposited solid polymer electrolyte</t>
  </si>
  <si>
    <t>Biocompatible piezoelectric lattice materials with ultrasound-regulated multimodal responses</t>
  </si>
  <si>
    <t>Multilayer WSe&lt;sub&gt;2&lt;/sub&gt;/ZnO heterojunctions for self-powered, broadband, and high-speed photodetectors</t>
  </si>
  <si>
    <t>NP Analyst: An Open Online Platform for Compound Activity Mapping</t>
  </si>
  <si>
    <t>Advancements in control systems and integration of artificial intelligence in welding robots: A review</t>
  </si>
  <si>
    <t>3D Human Shape Reconstruction from a Polarization Image</t>
  </si>
  <si>
    <t>FMG- and RNN-Based Estimation of Motor Intention of Upper-Limb Motion in Human-Robot Collaboration</t>
  </si>
  <si>
    <t>Opportunities and challenges for sweat-based monitoring of metabolic syndrome via wearable technologies</t>
  </si>
  <si>
    <t>On-demand electrical control of spin qubits</t>
  </si>
  <si>
    <t>Time-resolved magneto-optical effects in the altermagnet candidate MnTe</t>
  </si>
  <si>
    <t>3D Origami Sensing Robots for Cooperative Healthcare Monitoring</t>
  </si>
  <si>
    <t>High Curie temperature bismuth-based piezo-/ferroelectric single crystals of complex perovskite structure: recent progress and perspectives</t>
  </si>
  <si>
    <t>3D Structural Electronics Via Multiâ€Directional Robot 3D Printing</t>
  </si>
  <si>
    <t>Wireless pressure monitoring system utilizing a 3D-printed Origami pressure sensor array</t>
  </si>
  <si>
    <t>Aggregates, Formational Emergence, and the Focus on Practice in Stone Artifact Archaeology</t>
  </si>
  <si>
    <t>Benchmarking performance: A round-robin testing for liquid alkaline electrolysis</t>
  </si>
  <si>
    <t>A learning-based metaheuristic for a multi-objective agile inspection planning model under uncertainty</t>
  </si>
  <si>
    <t>Residual fatigue life modeling of fuel cell membranes</t>
  </si>
  <si>
    <t>Maximum-likelihood parameter estimation in terahertz time-domain spectroscopy</t>
  </si>
  <si>
    <t>Analysis of ternary AlGaX2(X = As, Sb) compounds for optoelectronic and renewable energy devices using density functional theory</t>
  </si>
  <si>
    <t>System identification and closed-loop control of laser hot-wire directed energy deposition using the parameter-signature-quality modeling scheme</t>
  </si>
  <si>
    <t>Calling the Police: Dispatchers as Important Interpreters and Manufacturers of Calls for Service Data</t>
  </si>
  <si>
    <t>Piezoelectric and ferroelectric materials: Fundamentals, recent progress, and applications</t>
  </si>
  <si>
    <t>Enhanced electrochemical performance of batteryâ€grade cobalt phosphate via magnetron sputtered copper interfacial layer for potential supercapattery applications</t>
  </si>
  <si>
    <t>Highly Conductive 3D Printable Materials for 3D Structural Electronics</t>
  </si>
  <si>
    <t>Numerical modelling of slope damage in large, slowly moving rockslides: Insights from the Downie Slide, British Columbia, Canada</t>
  </si>
  <si>
    <t>Repeatable Photoinduced Insulator-to-Metal Transition in Yttrium Oxyhydride Epitaxial Thin Films</t>
  </si>
  <si>
    <t>Bulk Photovoltaic Effect in Two-Dimensional Distorted MoTe2</t>
  </si>
  <si>
    <t>Low-damping flexible Y&lt;sub&gt;3&lt;/sub&gt;Fe&lt;sub&gt;5&lt;/sub&gt;O&lt;sub&gt;12&lt;/sub&gt; thin films for tunable RF/microwave processors</t>
  </si>
  <si>
    <t>A 3D integrated neuromorphic chemical sensing system</t>
  </si>
  <si>
    <t>Fault controls on spatial variation of fracture density and rock mass strength within the Yarlung Tsangpo Fault damage zone (southeastern Tibet)</t>
  </si>
  <si>
    <t>Patterning Catalyst Layers with Microscale Features by Soft Lithography Techniques for Proton Exchange Membrane Fuel Cells</t>
  </si>
  <si>
    <t>Development of a Two-Finger Haptic Robotic Hand with Novel Stiffness Detection and Impedance Control</t>
  </si>
  <si>
    <t>Design and fabrication of flexible strain sensor based on ZnO-decorated PVDF via atomic layer deposition</t>
  </si>
  <si>
    <t>Materials Design and Mechanistic Understanding of Tellurium and Telluriumâ€“Sulfur Cathodes for Rechargeable Batteries</t>
  </si>
  <si>
    <t>3D printable vapochromic sensing materials</t>
  </si>
  <si>
    <t>Toward artificial intelligence and machine learning-enabled frameworks for improved predictions of lifecycle environmental impacts of functional materials and devices</t>
  </si>
  <si>
    <t>OER Performances of Cationic Substituted (100)-Oriented IrO&lt;sub&gt;2&lt;/sub&gt; Thin Films: A Joint Experimental and Theoretical Study</t>
  </si>
  <si>
    <t>The Panopticon device: An integrated Paul-trapâ€“hemispherical mirror system for quantum optics</t>
  </si>
  <si>
    <t>Prevalence and Recent Trends in Exposure to Night Shiftwork in Canada</t>
  </si>
  <si>
    <t>3D printed vorticella-kirigami inspired sensors for structural health monitoring in Internet-of-Things</t>
  </si>
  <si>
    <t>Multilayer WSe2/ZnO heterojunctions for self-powered, broadband, and high-speed photodetectors</t>
  </si>
  <si>
    <t>Convergent evolution of niche structure in Northeast Pacific kelp forests</t>
  </si>
  <si>
    <t>Novel Grasping Mechanisms of 3Dâ€Printed Prosthetic Hands</t>
  </si>
  <si>
    <t>Characterisation of SiPM Photon Emission in the Dark</t>
  </si>
  <si>
    <t>A &lt;i&gt;Î²&lt;/i&gt;-NMR study of the depth, temperature, and molecular-weight dependence of secondary dynamics in polystyrene: Entropyâ€“enthalpy compensation and dynamic gradients near the free surface</t>
  </si>
  <si>
    <t>Advances in Vehicle and Powertrain Efficiency of Long-Haul Commercial Vehicles: A Review</t>
  </si>
  <si>
    <t>High protonic resistance of hydrocarbon-based cathodes in PEM fuel cells under low humidity conditions: Origin, implication, and mitigation</t>
  </si>
  <si>
    <t>Toward van der Waals epitaxy of transferable ferroelectric barium titanate films &lt;i&gt;via&lt;/i&gt; a graphene monolayer</t>
  </si>
  <si>
    <t>Two-dimensional tellurium-based diodes for RF applications</t>
  </si>
  <si>
    <t>Iron and cobalt phthalocyanine embedded electrospun carbon nanofiber-based catalysts for anion exchange membrane fuel cell cathode</t>
  </si>
  <si>
    <t>Thermal performance of heat and water recovery systems: Role of condensing heat exchanger material</t>
  </si>
  <si>
    <t>Morphometric and proteomic responses of early-life stage rainbow trout (Oncorhynchus mykiss) to the aquatic herbicide diquat dibromide</t>
  </si>
  <si>
    <t>Analysis of radiation pressure and aerodynamic forces acting on powder grains in powder-based additive manufacturing</t>
  </si>
  <si>
    <t>Mitigating Tannery Pollution in Sub-Saharan Africa and South Asia</t>
  </si>
  <si>
    <t>Optimized production, purification, and radiolabeling of the 203Pb/212Pb theranostic pair for nuclear medicine</t>
  </si>
  <si>
    <t>3D Printed Electromyography Sensing Systems</t>
  </si>
  <si>
    <t>3D Structural Electronics Via Multi-Directional Robot 3D Printing</t>
  </si>
  <si>
    <t>Mixed Ion-Carrier Diffusion in Poly(3-hexyl thiophene)/Perchlorate Electrochemical Systems</t>
  </si>
  <si>
    <t>CLIC-01: Manufacture and distribution of non-cryopreserved CAR-T cells for patients with CD19 positive hematologic malignancies</t>
  </si>
  <si>
    <t>Polypyrrole and Polythiophene Modified Carbon Nanotubeâ€Based Cathode Catalysts for Anion Exchange Membrane Fuel Cell</t>
  </si>
  <si>
    <t>3D HfO&lt;sub&gt;2&lt;/sub&gt; Thin Film MEMS Capacitor with Superior Energy Storage Properties</t>
  </si>
  <si>
    <t>The “Inherent Vices” of Policy Design: Uncertainty, Maliciousness, and Noncompliance</t>
  </si>
  <si>
    <t>3D Printable Vapochromic Sensing Materials</t>
  </si>
  <si>
    <t>Physics-Informed Online Learning for Temperature Prediction in Metal AM</t>
  </si>
  <si>
    <t>Scalable, Green Fabrication of Single-Crystal Noble Metal Films and Nanostructures for Low-Loss Nanotechnology Applications</t>
  </si>
  <si>
    <t>An updated systematic review and meta-analysis on portable air cleaners and blood pressure: Recommendations for users and manufacturers</t>
  </si>
  <si>
    <t>Enhanced RF response of 3D-printed wireless LC sensors using dielectrics with high permittivity</t>
  </si>
  <si>
    <t>A micromachined vector light sensor</t>
  </si>
  <si>
    <t>VDAC: Volume Decompose-and-Carve for Subtractive Manufacturing</t>
  </si>
  <si>
    <t>Influence of Laboratory Synthesized Graphene Oxide on the Morphology and Properties of Cement Mortar</t>
  </si>
  <si>
    <t>Manufacturing rage: The Russian Internet Research Agency’s political astroturfing on social media</t>
  </si>
  <si>
    <t>Ethylcellulose and bismuth sodium titanate-barium zirconate titanate (BNT-BZT) composite fibers for triboelectric energy harvesting</t>
  </si>
  <si>
    <t>Fabrication of high-entropy alloy superconducting wires by powder-in-tube method</t>
  </si>
  <si>
    <t>A Rapid and Sensitive Nucleic Acid Amplification Technique for Mycoplasma Screening of Cell Therapy Products</t>
  </si>
  <si>
    <t>An investigation of cutting parameters effect on sound level, surface roughness, and power consumption during machining of hardened AISI 4140</t>
  </si>
  <si>
    <t>Elucidating the role of precursors in synthesizing single crystalline lithium niobate nanomaterials: a study of effects of lithium precursors on nanoparticle quality</t>
  </si>
  <si>
    <t>Automated, High-Throughput Analysis of Tire-Derived p-Phenylenediamine Quinones (PPDQs) in Water by Online Membrane Sampling Coupled to MS/MS</t>
  </si>
  <si>
    <t>Physical Supercritical Fluid Deposition: Patterning Solution Processable Materials on Curved and Flexible Surfaces</t>
  </si>
  <si>
    <t>Enhanced electrochemical performance of battery-grade cobalt phosphate via magnetron sputtered copper interfacial layer for potential supercapattery applications</t>
  </si>
  <si>
    <t>Interlayer Exchange Coupling, Spin Pumping and Spin Transport in Metallic Magnetic Single and Bilayer Structures</t>
  </si>
  <si>
    <t>Improved Resilience and Uniformity in Polysulfone Blends from an Accelerated Grafting Ring-Opening Polymerization Reaction with Benzoxazine</t>
  </si>
  <si>
    <t>Atomic layer deposition of void-free ZnFe2O4 thin films and their magnetic properties</t>
  </si>
  <si>
    <t>Lead free 0.9Na1/2Bi1/2TiO3â€“0.1BaZr0.2Ti0.8O3 thin film with large piezoelectric electrostrain</t>
  </si>
  <si>
    <t>Contact transfer of engineered nanomaterials in the workplace</t>
  </si>
  <si>
    <t>Integrating Product Stewardship into the Clothing and Textile Industry: Perspectives of New Zealand Stakeholders</t>
  </si>
  <si>
    <t>Depth-resolved measurement of the Meissner screening profile in a niobium thin film from spin-lattice relaxation of the implanted &lt;i&gt;Î²&lt;/i&gt;-emitter 8Li</t>
  </si>
  <si>
    <t>Simulating automakers’ response to zero emissions vehicle regulation</t>
  </si>
  <si>
    <t>Raw material characterization and lithic provenance from Shishan Marsh 1, a Middle Pleistocene site in the central Azraq Basin, Jordan</t>
  </si>
  <si>
    <t>Cannabis use is associated with reduced risk of exposure to fentanyl among people on opioid agonist therapy during a community-wide overdose crisis</t>
  </si>
  <si>
    <t>The Effect of Intensity Fluctuations on Sequential X-ray Photon Correlation Spectroscopy at the X-ray Free Electron Laser Facilities</t>
  </si>
  <si>
    <t>Low-damping flexible Y3Fe5O12thin films for tunable RF/microwave processors</t>
  </si>
  <si>
    <t>In-situ thermal conductivity of a sorption composite: An analytical approach</t>
  </si>
  <si>
    <t>Differentiation of Nanoparticles Isolated from Distinct Plant Species Naturally Growing in a Heavy Metal Polluted Site</t>
  </si>
  <si>
    <t>AnisoTag: 3D Printed Tag on 2D Surface via Reflection Anisotropy</t>
  </si>
  <si>
    <t>Self-assembly of PBTTTâ€“C&lt;sub&gt;14&lt;/sub&gt; thin films in supercritical fluids</t>
  </si>
  <si>
    <t>A Three-Dimensional Model of Skeletal Muscle Tissues</t>
  </si>
  <si>
    <t>MIMO system identification and uncertainty calibration with a limited amount of data using transfer learning</t>
  </si>
  <si>
    <t>Mn-inlaid antiphase boundaries in perovskite structure</t>
  </si>
  <si>
    <t>The Panopticon device: An integrated Paul-trap-hemispherical mirror system for quantum optics</t>
  </si>
  <si>
    <t>Room temperature hydrogen storage enhancement in copper-doped zeolitic imidazolate frameworks with trioctylamine</t>
  </si>
  <si>
    <t>Direct Photolithographic Deposition of Color-Coded Anti-Counterfeit Patterns with Titania Encapsulated Upconverting Nanoparticles</t>
  </si>
  <si>
    <t>Interfacial and microstructural changes of the Al2O3/ZnO multilayer films induced by in-situ growth and post-annealing temperatures</t>
  </si>
  <si>
    <t>OER Performances of Cationic Substituted (100)-Oriented IrO2Thin Films: A Joint Experimental and Theoretical Study</t>
  </si>
  <si>
    <t>Organic photodetectors</t>
  </si>
  <si>
    <t>Shifting to Circular Manufacturing in the Global South: Challenges and Pathways</t>
  </si>
  <si>
    <t>In-situ diagnostic tools for hydrogen transfer leak characterization in PEM fuel cell stacks part III: Manufacturing applications</t>
  </si>
  <si>
    <t>Impacts of cathode catalyst layer defects on performance and durability in PEM fuel cells</t>
  </si>
  <si>
    <t>Developing a soft micropatterned substrate to enhance maturation of human induced pluripotent stem cell-derived cardiomyocytes</t>
  </si>
  <si>
    <t>Assessing the Transformations of Supported Nanocatalysts Used in the Oxygen Evolution Reaction: A Case Study Using NiFe&lt;sub&gt;2&lt;/sub&gt;O&lt;sub&gt;4&lt;/sub&gt; Nanoparticles Supported on Textured Ni Electrodes</t>
  </si>
  <si>
    <t>rGO outperforms GO in generating oxidative stress and DNA strand breaks in zebrafish liver cells</t>
  </si>
  <si>
    <t>Economic Prehistory: Six Transitions That Shaped the World</t>
  </si>
  <si>
    <t>Cytokine Activation Reveals Tissue-Imprinted Gene Profiles of Mesenchymal Stromal Cells</t>
  </si>
  <si>
    <t>A 3Dâ€Printed Computer</t>
  </si>
  <si>
    <t>Expanding the PET radioisotope universe utilizing solid targets on small medical cyclotrons</t>
  </si>
  <si>
    <t>3D Print-Scan Resilient Localized Mesh Watermarking</t>
  </si>
  <si>
    <t>Economic, business, technical, and commercialization hindrances for the polymer electrolyte membrane fuel cell</t>
  </si>
  <si>
    <t>Comment on â€œAnisotropic Scattering Caused by Apical Oxygen Vacancies in Thin Films of Overdoped High-Temperature Cuprate Superconductorsâ€</t>
  </si>
  <si>
    <t>Mechanical properties of two-dimensional materials: atomistic modeling and future directions</t>
  </si>
  <si>
    <t>Self-powered integrated opto-electro-mechanical nano-actuators</t>
  </si>
  <si>
    <t>Health-related quality of life in oncology drug reimbursement submissions in Canada: A review of submissions to the pan-Canadian Oncology Drug Review</t>
  </si>
  <si>
    <t>Heat-resistant luminescent films: a thermal study of fluorene/thiophene copolymer-elastomer blends</t>
  </si>
  <si>
    <t>Specific Protein Antigen Delivery to Human Langerhans Cells in Intact Skin</t>
  </si>
  <si>
    <t>Preconditioning Operation of Membraneless Vanadium Micro Redox Flow Batteries</t>
  </si>
  <si>
    <t>Isolated Iridium Sites on Potassium-Doped Carbon-nitride wrapped Tellurium Nanostructures for Enhanced Glycerol Photooxidation</t>
  </si>
  <si>
    <t>Pre-production results from ATLAS ITk Strip Sensors Quality Assurance Testchip</t>
  </si>
  <si>
    <t>Emissions-intensive and trade-exposed industries: technological innovation and climate policy solutions to achieve net-zero emissions by 2050</t>
  </si>
  <si>
    <t>Cutting-edge developments in perovskite solar cells: The role of dimensional and mixed-dimensional engineering</t>
  </si>
  <si>
    <t>Characterisation of sipm photon emission in the dark</t>
  </si>
  <si>
    <t>Electrostatic Correlations Lead to High Capacitance in Zwitterion-Containing Thin Films</t>
  </si>
  <si>
    <t>Understanding the Impact of Machine Learning Models on the Performance of Different Flexible Strain Sensor Modalities</t>
  </si>
  <si>
    <t>Stationary thin film microgroove-based sorber reactor for sorption heat transformers: Surface modification, sorption dynamics, and crystallization</t>
  </si>
  <si>
    <t>Enhanced Nanofiltration Performance of the PVC/PVA Thin Film Membranes for Treatment of Petroleum Refinery Wastewater through Incorporation of Amino-functionalized SBA-15 Nanoparticles</t>
  </si>
  <si>
    <t>Pre-contact adaptations to the Little Ice Age in Southwest Alaska: New evidence from the Nunalleq site</t>
  </si>
  <si>
    <t>Changes in drug use behaviors coinciding with the emergence of illicit fentanyl among people who use drugs in Vancouver, Canada</t>
  </si>
  <si>
    <t>Removing lead from the global economy</t>
  </si>
  <si>
    <t>Rapid thermal processing induced interfacial diffusion and solid reaction in the Al2O3/ZnO nano-laminates films</t>
  </si>
  <si>
    <t>Experimental performance and emissions of additively manufactured high-temperature combustion chambers for micro-gas turbines</t>
  </si>
  <si>
    <t>M/PH/C queue under a congestion-based staffing policy with applications in steel industryÂ operations</t>
  </si>
  <si>
    <t>Testing inter-observer error under a collaborative research framework for studying lithic shape variability</t>
  </si>
  <si>
    <t>Solution-Based Integration of Vertically Stacked Organic Photodetectors Toward Easy-To-Fabricate Filterless Multi-Color Light Sensors</t>
  </si>
  <si>
    <t>Guest Editorial: The social life of Chinese infrastructures in Southeast Asia</t>
  </si>
  <si>
    <t>A β -NMR study of the depth, temperature, and molecular-weight dependence of secondary dynamics in polystyrene: Entropy-enthalpy compensation and dynamic gradients near the free surface</t>
  </si>
  <si>
    <t>A 3D Printed Wearable Electromyography Wristband</t>
  </si>
  <si>
    <t>Awareness of fentanyl exposure and the associated overdose risks among people who inject drugs in a Canadian setting</t>
  </si>
  <si>
    <t>Low-Cost Melt Pool Temperature Prediction Using Visible Light Camera and Machine Learning in Laser Hot-Wire Directed Energy Deposition</t>
  </si>
  <si>
    <t>Artificial Xylem Chip: A Three-Dimensionally Printed Vertical Digital Microfluidic Platform</t>
  </si>
  <si>
    <t>Editorial: Focus on green nanomaterials for a sustainable internet of things</t>
  </si>
  <si>
    <t>3D HfO2 Thin Film MEMS Capacitor with Superior Energy Storage Properties</t>
  </si>
  <si>
    <t>Signage to Indicate the Presence of Engineered Nanomaterials in the Workplace: Lessons from a Trial Study That Led to Implementation in a Worksite</t>
  </si>
  <si>
    <t>Antiferromagnetic coupling across nonmagnetic transition-metal films alloyed with ferromagnetic elements</t>
  </si>
  <si>
    <t>Elevated prevalence of self-reported unintentional exposure to fentanyl among women who use drugs in a Canadian setting: A cross-sectional analysis</t>
  </si>
  <si>
    <t>Toward van der Waals epitaxy of transferable ferroelectric barium titanate films: Via a graphene monolayer</t>
  </si>
  <si>
    <t>Detecting Safety Anomalies in pHRI Activities via Force Myography</t>
  </si>
  <si>
    <t>Modified Beam Structures for Improved Resonant Sensing</t>
  </si>
  <si>
    <t>Measuring Thermal Conductivity of Single Thickness Fibrous Gas Diffusion Layers Using Transient Plane Source Method</t>
  </si>
  <si>
    <t>Lithium niobate particles with a tunable diameter and porosity for optical second harmonic generation</t>
  </si>
  <si>
    <t>Serendipitous Doping in Nickel Oxide upon Microwaveâ€Induced Lowâ€Temperature Crystallization Enhances Efficiency of Perovskite Solar Cells</t>
  </si>
  <si>
    <t>Performance implications of misalignment among business strategy, leadership style, organizational culture and management accounting systems</t>
  </si>
  <si>
    <t>Solvent selection in physical supercritical fluid deposition</t>
  </si>
  <si>
    <t>Modeling axisymmetric centrifugal compressor characteristics from first principles</t>
  </si>
  <si>
    <t>Ontological how and why: action and objective of planned processes in the food domain</t>
  </si>
  <si>
    <t>A 3-D-Printed Portable EMG Wristband for the Quantitative Detection of Finger Motion</t>
  </si>
  <si>
    <t>Deep-Subthreshold Ambipolar Printed-CNT TFTs Toward Sustainable Ultra-Low-Power Edge Computing</t>
  </si>
  <si>
    <t>Polypyrrole and Polythiophene Modified Carbon Nanotube-Based Cathode Catalysts for Anion Exchange Membrane Fuel Cell</t>
  </si>
  <si>
    <t>BendAide: A Deformable Interface to Augment Touchscreen Mobile Devices</t>
  </si>
  <si>
    <t>Structure and properties of Bi(Zn½Ti½)O3-modified Pb(Zr,Ti)O3 piezo-/ferroelectric ceramics around the ternary morphotropic phase boundary</t>
  </si>
  <si>
    <t>Giant anomalous Hall effect in epitaxial &lt;mml:math xmlns:mml="http://www.w3.org/1998/Math/MathML"&gt;&lt;mml:mrow&gt;&lt;mml:msub&gt;&lt;mml:mi&gt;Mn&lt;/mml:mi&gt;&lt;mml:mrow&gt;&lt;mml:mn&gt;3.2&lt;/mml:mn&gt;&lt;/mml:mrow&gt;&lt;/mml:msub&gt;&lt;mml:mi&gt;Ge&lt;/mml:mi&gt;&lt;/mml:mrow&gt;&lt;/mml:math&gt; films with a cubic kagome structure</t>
  </si>
  <si>
    <t>Benchtop Oneâ€toâ€One Nanocontact Replication Across Length Scales from 100â€‰nm to 10â€‰cm via Ambient Polycarbonate Molding</t>
  </si>
  <si>
    <t>High-Performance, Single-Crystal Gold Bowtie Nano-Antennas via Epitaxial Electroless Deposition</t>
  </si>
  <si>
    <t>Improved Decal Transfer Method to Reduce Membrane Damage from Foreign Particles in Membrane Electrode Assembly</t>
  </si>
  <si>
    <t>Fast scattering coefficient measurement of intralipid-infused tissue phantoms using imaging sensors</t>
  </si>
  <si>
    <t>Exploring the Composite Intentionality of 3D Printers and Makers in Digital Fabrication</t>
  </si>
  <si>
    <t>Selective B cell depletion upon intravenous infusion of replication-incompetent anti-CD19 CAR lentivirus</t>
  </si>
  <si>
    <t>Critical windows of fluoride neurotoxicity in Canadian children by Farmus and colleagues â€“ In reply to Guichon et al. (2022)</t>
  </si>
  <si>
    <t>Involvement of frontline clinicians in healthcare technology development: Lessons learned from a ventilator project</t>
  </si>
  <si>
    <t>Single Nanoflake Hexagonal Boron Nitride Harmonic Generation with Ultralow Pump Power</t>
  </si>
  <si>
    <t>A 3D Printed Architecture Sensor for Structural Health Monitoring</t>
  </si>
  <si>
    <t>Caring through: Engaging with the temporality of care in more-than-human design</t>
  </si>
  <si>
    <t>Microfabrication Techniques for Creating Cell Culture Substrates</t>
  </si>
  <si>
    <t>The Total Heat Transfer Rate in the Evaporating Thin Film: A New Analytical Solution</t>
  </si>
  <si>
    <t>Muon Spin Spectroscopy: Methods and Applications in Chemistry and Materials Science</t>
  </si>
  <si>
    <t>Gold-Copper Metal Alloys: Crystalline Materials for the CO&lt;sub&gt;2&lt;/sub&gt; Reduction Reaction</t>
  </si>
  <si>
    <t>Modeling and optimization of height-related geometrical parameters for thin wall structures manufactured by metal additive manufacturing</t>
  </si>
  <si>
    <t>Depth-resolved measurement of the Meissner screening profile in a niobium thin film from spin-lattice relaxation of the implanted $Î²$-emitter $^{8}$Li</t>
  </si>
  <si>
    <t>A novel membrane-based absorber for sorption heat transformers: A comparative experimental study of a thin-film absorbent and salt-impregnated adsorbents</t>
  </si>
  <si>
    <t>A bi˗objective hub location-allocation model considering congestion</t>
  </si>
  <si>
    <t>Electrodeposition of PdPt Nanoparticles on Edges and S-Vacancies in Exfoliated MoS2 Nanosheets for Enhanced Hydrogen Evolution Activity</t>
  </si>
  <si>
    <t>A novel microgroove-based absorber for sorption heat transformation systems: Analytical modeling and experimental investigation</t>
  </si>
  <si>
    <t>Cumulative Damage Modeling of Fuel Cell Membranes</t>
  </si>
  <si>
    <t>Reliable Circuit Design Using a Fast Incremental-Based Gate Sizing Under Process Variation</t>
  </si>
  <si>
    <t>Message from the Organising Committee</t>
  </si>
  <si>
    <t>Individual Nanoflakes of Two Dimensional Materials Harmonic Generation with Ultralow Pump Power</t>
  </si>
  <si>
    <t>CCTV in Africa: Constructive approach to manufacturing consent</t>
  </si>
  <si>
    <t>Transition from ferromagnetic to noncollinear to paramagnetic state with increasing Ru concentration in FeRu films</t>
  </si>
  <si>
    <t>Modeling the thermal and hydrodynamic performance of grooved wick flat heat pipes</t>
  </si>
  <si>
    <t>Effects of Wet Film Application Parameters on the Structure and Performance of Fuel Cell Catalyst Layers Prepared Using Scalable Methods</t>
  </si>
  <si>
    <t>An α-chloroaldehyde-based formal synthesis of eribulin</t>
  </si>
  <si>
    <t>Hot Electron Extraction Enabled By Single-Crystal Metal Films and Nanostructures</t>
  </si>
  <si>
    <t>Optimized Decal Transfer Method for the Mitigation of Incidental Particle Deposition at the Interface of Proton Exchange Membranes and Catalyst Layers</t>
  </si>
  <si>
    <t>Niobium Oxide Coated Mesoporous Platinum Nanoparticles for the Oxygen Reduction Reaction</t>
  </si>
  <si>
    <t>ATLAS ITk strip sensor quality control procedures and testing site qualification</t>
  </si>
  <si>
    <t>Advanced modifications in nonnoble materials for proton exchange membrane</t>
  </si>
  <si>
    <t>Sustainable Manufacturing and Environmental Pollution Programme (SMEP): A Circular Economy Experiment in the Global South</t>
  </si>
  <si>
    <t>Segmental airway phantom for endobronchial optical coherence tomography</t>
  </si>
  <si>
    <t>A systematic review of agouti (Dasyproctidae: Dasyprocta) records from the pre-1492 Lesser Antilles: New perspectives on an introduced commensal</t>
  </si>
  <si>
    <t>Developing a Soft Micropatterned Substrate to Enhance Maturation of Human Induced Pluripotent Stem Cell-Derived Cardiomyocytes&amp;amp;nbsp;(hiPSC-CMs)</t>
  </si>
  <si>
    <t>Developing a Soft Micropatterned Substrate to Enhance Maturation of Human Induced Pluripotent Stem Cell-Derived Cardiomyocytes (hiPSC-CMs)</t>
  </si>
  <si>
    <t>Elucidating the role of precursors in synthesizing single crystalline lithium niobate nanomaterials: A study of effects of lithium precursors on nanoparticle quality</t>
  </si>
  <si>
    <t>Design, Analysis, and Testing of an Additively Manufactured Catalytic Combustor for a Micro-Wave Rotor Turbine</t>
  </si>
  <si>
    <t>Petrographic analysis of Pre-Columbian pottery from Nevis, Eastern Caribbean</t>
  </si>
  <si>
    <t>Growth-promoting Effect of Graphene Oxide on Tissue Culture Seedlings of Poplar</t>
  </si>
  <si>
    <t>The Double-Edged Sword of Error Sharing in Organizations: From A Self-Disclosure Perspective</t>
  </si>
  <si>
    <t>Cathodic Pd&lt;sub&gt;1-X&lt;/sub&gt;Ni&lt;sub&gt;X&lt;/sub&gt; Nanocatalyst Development for Alkaline Fuel Cell Applications</t>
  </si>
  <si>
    <t>(Invited) Textile-based Electronic/fluidic Platforms Towards Wearable Diagnostic Sensor Systems</t>
  </si>
  <si>
    <t>Export market relatedness, geographical diversification and regional export growth in China</t>
  </si>
  <si>
    <t>In-Situ Capabilities of Lab-Based X-Ray Microscopy for Polymer Electrolyte Fuel Cells</t>
  </si>
  <si>
    <t>THE ROUTLEDGE HANDBOOK OF ECOMEDIA STUDIES</t>
  </si>
  <si>
    <t>Guest Editorial Special Issue on Self-Powered Sensors and Wearable Electronic Systems</t>
  </si>
  <si>
    <t>3D mesh steganography and steganalysis: review and prospect; 3D网格隐写与隐写分析回顾与展望</t>
  </si>
  <si>
    <t>In-Situ Fatigue Lifetime Modeling of a Reinforced Membrane by Projecting Critical Accumulated Plastic Dissipation Energy from Pressure Differential-Accelerated Mechanical Stress Tests</t>
  </si>
  <si>
    <t>Multidisciplinary Microfluidic and Nanofluidic Lab-on-a-Chip: Principles and Applications</t>
  </si>
  <si>
    <t>Polythiophene, Polypyrrole and Carbon Nanotube-Based Catalyst for Alkaline Membrane Fuel Cell Cathode</t>
  </si>
  <si>
    <t>High Durability of Pemion&lt;sup&gt;Â®&lt;/sup&gt; Proton Exchange Membranes in Cross-Pressure Accelerated Mechanical Stress Tests</t>
  </si>
  <si>
    <t>Transition Metal-Containing Nitrogen-Doped Nanocarbons Derived from 5-Methylresorcinol for Anion Exchange Membrane Fuel Cell Application</t>
  </si>
  <si>
    <t>Fe- and Co-Containing Nitrogen-Doped Nanocarbon Catalysts from 5-Methylresorcinol for Anion Exchange Membrane Fuel Cells</t>
  </si>
  <si>
    <t>The role of anodization in naturally cooled heat sinks for power electronic devices</t>
  </si>
  <si>
    <t>Impact of Missing Cathode Catalyst Layer Areas on Performance and Durability in PEM Fuel Cells</t>
  </si>
  <si>
    <t>Exploring Component Interactions during Mechanical Degradation of Fuel Cell Membranes with 4D in Situ Visualization</t>
  </si>
  <si>
    <t>Beyond a spec: assessing heterogeneity in the unregulated opioid supply</t>
  </si>
  <si>
    <t>Visualization of Water Distribution in Fuel Cell Microporous and Catalyst Layers with 3D Nanoscale X-Ray Imaging</t>
  </si>
  <si>
    <t>High performance, single crystal gold bowtie nanoantennas fabricated via epitaxial electroless deposition</t>
  </si>
  <si>
    <t>Recent upgrades and developments at TRIUMF's laser nuclear-spin-polarization facility</t>
  </si>
  <si>
    <t>Assessing the Transformations of Supported Nanocatalysts Used in the Oxygen Evolution Reaction: A Case Study Using NiFe2O4Nanoparticles Supported on Textured Ni Electrodes</t>
  </si>
  <si>
    <t>Lead free 0.9Na1/2Bi1/2TiO3-0.1BaZr0.2Ti0.8O3thin film with large piezoelectric electrostrain</t>
  </si>
  <si>
    <t>Self-Assembly of PBTTT-C14 thin films in supercritical fluids</t>
  </si>
  <si>
    <t>3D architectured air sensing tubes for a portable mechanical ventilator</t>
  </si>
  <si>
    <t>Experimental and computational analysis of additive manufactured augmented backside liner cooling surfaces for use in micro-gas turbines</t>
  </si>
  <si>
    <t>Physical supercritical fluid deposition of polymer films: controlling the crystallinity with pressure</t>
  </si>
  <si>
    <t>Comparison of fast switching high current power devices</t>
  </si>
  <si>
    <t>The effect of intensity fluctuations on sequential x-ray photon correlation spectroscopy at the x-ray free electron laser facilities</t>
  </si>
  <si>
    <t>Mechanical properties of two-dimensional materials: Atomistic modeling and future directions</t>
  </si>
  <si>
    <t>Impacts of Catalyst Ink Composition and Wet Film Thickness on Fuel Cell Catalyst Layers Fabricated by Direct Film Coating Method</t>
  </si>
  <si>
    <t>Organic heterojunction charge-transfer chemical sensors</t>
  </si>
  <si>
    <t>A 3D-Printed Computer</t>
  </si>
  <si>
    <t>Thermally robust synthetic antiferromagnetic fixed layers containing FeCoB for use in STT-MRAM devices</t>
  </si>
  <si>
    <t>Policy volatility and the propensity of policies to fail: dealing with uncertainty, maliciousness and compliance in public policy-making</t>
  </si>
  <si>
    <t>Cross-model retrieval with deep learning for business application</t>
  </si>
  <si>
    <t>Demonstration of a Nonlinear Angular Rate Sensor based on Internal Resonance</t>
  </si>
  <si>
    <t>Toxicity of the aquatic herbicide, reward®, on the fathead minnow with pulsed-exposure proteomic profile</t>
  </si>
  <si>
    <t>Improving the performance of MMPP/M/C queue by convex optimization - A real-world application in iron and steel industry</t>
  </si>
  <si>
    <t>Interrogating the private in public school outsourcing in Liberia</t>
  </si>
  <si>
    <t>Tailoring Plasmonic Fields with Shape-Controlled Single-Crystal Gold Metasurfaces</t>
  </si>
  <si>
    <t>A THREE-DIMENSIONAL MODEL OF SKELETAL MUSCLE TISSUES</t>
  </si>
  <si>
    <t>Addressing perceptions regarding the influence of relative hardness on wheel/rail performance</t>
  </si>
  <si>
    <t>Setups for eliminating static charge of the ATLAS18 strip sensors</t>
  </si>
  <si>
    <t>Depth-resolved measurement of the Meissner screening profile in a niobium thin film from spin-lattice relaxation of the implanted β-emitter 8Li</t>
  </si>
  <si>
    <t>Comment on "anisotropic Scattering Caused by Apical Oxygen Vacancies in Thin Films of Overdoped High-Temperature Cuprate Superconductors"</t>
  </si>
  <si>
    <t>A power switch open-circuit fault-tolerant scheme using dc current injection for dual active bridge converters in cascaded h-bridge solid-state transformer</t>
  </si>
  <si>
    <t>The Textile is the Substrate: Challenges of Direct-on-Fabric Wearables</t>
  </si>
  <si>
    <t>Triangle Mesh Watermarking and Steganography</t>
  </si>
  <si>
    <t>Serendipitous Doping in Nickel Oxide upon Microwave-Induced Low-Temperature Crystallization Enhances Efficiency of Perovskite Solar Cells</t>
  </si>
  <si>
    <t>The role of solvent additive in polymer crystallinity during physical supercritical fluid deposition</t>
  </si>
  <si>
    <t>M/PH/C queue under a congestion-based staffing policy with applications in steel industry operations</t>
  </si>
  <si>
    <t>Restricting trade and reducing variety: Evidence from Ethiopia</t>
  </si>
  <si>
    <t>Advancements in self-assembling peptides: Bridging gaps in 3D cell culture and electronic device fabrication</t>
  </si>
  <si>
    <t>Microscale Contacts for Nanowire Characterization Using Microscope Projection Photolithography</t>
  </si>
  <si>
    <t>Biopharmaceutical Financialization and Public Funding of Medical Countermeasures (MCMs) in Canada During the COVID-19 Pandemic</t>
  </si>
  <si>
    <t>Synthesis, structural evolution, and dielectric properties of a new perovskite solid solution (Pb0.5Sr0.5)(Zr0.5Ti0.5)O3–PbTiO3</t>
  </si>
  <si>
    <t>THE IMPACT OF RELATIVE WHEEL-RAIL HARDNESS ON RCF, PLASTIC FLOW, AND RAIL GRINDING</t>
  </si>
  <si>
    <t>OSTE+ Polymer Composite with Rare Earth Hard Magnetic Particles for Flexible Reaction Injection-Moldable Microfluidic Actuators</t>
  </si>
  <si>
    <t>Residual Power Transfer Capability Analysis of an MMC-SST under Submodule IGBT Open-Circuit Fault</t>
  </si>
  <si>
    <t>Strategically releasing control: Navigating the complexities of enabling category captains</t>
  </si>
  <si>
    <t>Corporate interests within transnational advocacy networks: The International Coalition Against Plain Packaging</t>
  </si>
  <si>
    <t>Experimental and computational analysis of additive manufactured augmented backside liner cooling surfaces for use in micro gas turbines</t>
  </si>
  <si>
    <t>Intercorporeal Design: Dissolving Self-Other Dualism in Interaction Design</t>
  </si>
  <si>
    <t>Giant anomalous Hall effect in epitaxial Mn3.2Ge films with a cubic kagome structure</t>
  </si>
  <si>
    <t>Metatarsalgia: Clinical Profile and Comfort from Foot Orthoses Treatment</t>
  </si>
  <si>
    <t>Gamma irradiation of ATLAS18 ITk strip sensors affected by static charge</t>
  </si>
  <si>
    <t>On the Role of Import Intermediaries in Canada</t>
  </si>
  <si>
    <t>LOW-COST MELT POOL TEMPERATURE PREDICTION USING VISIBLE LIGHT CAMERA AND MACHINE LEARNING IN LASER HOT-WIRE DIRECTED ENERGY DEPOSITION</t>
  </si>
  <si>
    <t>Kinematic and Dynamic Analysis of a Compliant Mechanism to Generate Different Flapping-Wing Paths Based on Vibration Characteristics</t>
  </si>
  <si>
    <t>Demography and Digital Transformation in Japan</t>
  </si>
  <si>
    <t>Reducing Manufacturing and Environmental Pollution in the Global South: Lessons from the SMEP Program</t>
  </si>
  <si>
    <t>A 3-D Printed Portable Neuromorphic System</t>
  </si>
  <si>
    <t>A BRIEF HISTORY OF WHEEL-RAIL FRICTION MANAGEMENT</t>
  </si>
  <si>
    <t>REVIEW OF TRANSFER LEARNING IN ADDITIVE MANUFACTURING MODELING</t>
  </si>
  <si>
    <t>The forgotten labour of craft: Exploitation and organizing in artisanal industries</t>
  </si>
  <si>
    <t>Evaluating manufacture marks on ground stone objects as a new proxy for the spread of metal technology in the southern Levant</t>
  </si>
  <si>
    <t>Benchtop One-to-One Nanocontact Replication Across Length Scales from 100 nm to 10 cm via Ambient Polycarbonate Molding</t>
  </si>
  <si>
    <t>Trade and Immigration</t>
  </si>
  <si>
    <t>Reflections on the Impending Lawsuits by Governments against Pharmaceutical Opioid Producers in Canada</t>
  </si>
  <si>
    <t>A novel compact xerographic system for 3D printing of fluoropolymer powders onto metal surfaces</t>
  </si>
  <si>
    <t>Reconstruction of the doping profile in Vlasov-Poisson system</t>
  </si>
  <si>
    <t>Making Space for Poems: An Invitation to More-than-Human Design</t>
  </si>
  <si>
    <t>WooDowel: Enhancing Triboelectric Plywood Sensors with Electromagnetic Shielding</t>
  </si>
  <si>
    <t>Tagnoo: Enabling Room-Scale Smart Environments with RFID-Augmented Plywood</t>
  </si>
  <si>
    <t>Assessing the internalization pathways of Cr-Fe-Ni nanoparticles in native Dittrichia viscosa naturally exposed to industrial atmospheric fallout</t>
  </si>
  <si>
    <t>Guest Editorial for Special Issue on Papers From 2023 IEEE International Conference on Flexible Printable Sensors and Systems (FLEPS)</t>
  </si>
  <si>
    <t>Relationships between Foreign Direct Investment and Trade Flows in a Transition Economy: The Case of Ukraine1</t>
  </si>
  <si>
    <t>DESIGN, ANALYSIS, AND TESTING OF AN ADDITIVELY MANUFACTURED CATALYTIC COMBUSTOR FOR A MICRO-WAVE ROTOR TURBINE</t>
  </si>
  <si>
    <t>Remembering the Work of Phillip L. Geissler: A Coda to His Scientific Trajectory</t>
  </si>
  <si>
    <t>DEFINING AND MODELING OF HEIGHT-RELATED GEOMETRICAL PARAMETERS FOR THIN WALL STRUCTURES MANUFACTURED BY METAL ADDITIVE MANUFACTURING</t>
  </si>
  <si>
    <t>Validation and assessment of a mathematical model for centrifugal compressor surge</t>
  </si>
  <si>
    <t>Cytosolic Calcium Measurement Utilizing a Single-Cell Biochip to Study the Effect of Curcumin and Resveratrol on a Single Glioma Cell</t>
  </si>
  <si>
    <t>Near Field Measurement: Characterizing System SNR against Frequency</t>
  </si>
  <si>
    <t>Synthesis and characterization of iQC Al13Cr2 phase single crystal</t>
  </si>
  <si>
    <t>Maximizing the transport properties of two-dimensional fibrous materials</t>
  </si>
  <si>
    <t>NATURALLY-COOLED HEAT SINKS for NEXT-GENERATION BATTERY CHARGERS</t>
  </si>
  <si>
    <t>ITERATIVE UNCERTAINTY CALIBRATION FOR MODELING METAL ADDITIVE MANUFACTURING PROCESSES USING STATISTICAL MOMENT-BASED METRIC</t>
  </si>
  <si>
    <t>Characterizing the topology of kinetoplast DNA using random knotting</t>
  </si>
  <si>
    <t xml:space="preserve">SciVal Title </t>
  </si>
  <si>
    <t>COVID-19: the gendered impacts of the outbreak</t>
  </si>
  <si>
    <t>The Lancet Commission on lessons for the future from the COVID-19 pandemic</t>
  </si>
  <si>
    <t>Human resource management in the age of generative artificial intelligence: Perspectives and research directions on ChatGPT</t>
  </si>
  <si>
    <t>Mobilizing Policy (In)Capacity to Fight COVID-19: Understanding Variations in State Responses</t>
  </si>
  <si>
    <t>How Right-Leaning Media Coverage of COVID-19 Facilitated the Spread of Misinformation in the Early Stages of the Pandemic in the U.S.</t>
  </si>
  <si>
    <t>How right-leaning media coverage of Covid-19 facilitated the spread of misinformation in the early stages of the pandemic in the U.S.</t>
  </si>
  <si>
    <t>Digital agricultural technologies for food loss and waste prevention and reduction: Global trends, adoption opportunities and barriers</t>
  </si>
  <si>
    <t>The Knowns and Unknowns of Policy Instrument Analysis: Policy Tools and the Current Research Agenda on Policy Mixes</t>
  </si>
  <si>
    <t>ChatGPT in education: Methods, potentials, and limitations</t>
  </si>
  <si>
    <t>Beyond Allyship: Motivations for Advantaged Group Members to Engage in Action for Disadvantaged Groups</t>
  </si>
  <si>
    <t>How populism and conservative media fuel conspiracy beliefs about COVID-19 and what it means for COVID-19 behaviors</t>
  </si>
  <si>
    <t>Scientists' Warning to Humanity on Threats to Indigenous and Local Knowledge Systems</t>
  </si>
  <si>
    <t>Energy system analytics and good governance -U4RIA goals of Energy Modelling for Policy Support</t>
  </si>
  <si>
    <t>Rights, interests and expectations: Indigenous perspectives on unrestricted access to genomic data</t>
  </si>
  <si>
    <t>Indigenous Systems of Management for Culturally and Ecologically Resilient Pacific Salmon (&lt;i&gt;Oncorhynchus&lt;/i&gt;spp.) Fisheries</t>
  </si>
  <si>
    <t>Global coordination on cross-border travel and trade measures crucial to COVID-19 response</t>
  </si>
  <si>
    <t>A large-scale test of the link between intergroup contact and support for social change</t>
  </si>
  <si>
    <t>Considering Indigenous Peoples and local communities in governance of the global ocean commons</t>
  </si>
  <si>
    <t>COVID-19 vaccine hesitancy in Africa: a scoping review</t>
  </si>
  <si>
    <t>Assessing the regulatory challenges of emerging disruptive technologies</t>
  </si>
  <si>
    <t>Novel Coronavirus, Old Partisanship: COVID-19 Attitudes and Behaviours in the United States and Canada</t>
  </si>
  <si>
    <t>Indigenous Systems of Management for Culturally and Ecologically Resilient Pacific Salmon (Oncorhynchus spp.) Fisheries</t>
  </si>
  <si>
    <t>Banking on refugees: Racialized expropriation in the fintech era</t>
  </si>
  <si>
    <t>Traumatic brain injury in homeless and marginally housed individuals: a systematic review and meta-analysis</t>
  </si>
  <si>
    <t>Is the 15-minute city within reach? Evaluating walking and cycling accessibility to grocery stores in Vancouver</t>
  </si>
  <si>
    <t>Attachment goes to court: Child protection and custody issues; El Apego Va a Juicio: Problemas de Custodia y Protección Infantil</t>
  </si>
  <si>
    <t>Conceptualising commercial entities in public health: beyond unhealthy commodities and transnational corporations</t>
  </si>
  <si>
    <t>The cascade of care for opioid use disorder: a retrospective study in British Columbia, Canada</t>
  </si>
  <si>
    <t>A global public health convention for the 21st century</t>
  </si>
  <si>
    <t>Half a century of rising extinction risk of coral reef sharks and rays</t>
  </si>
  <si>
    <t>Recent developments in the social identity approach to the psychology of climate change</t>
  </si>
  <si>
    <t>â€˜Trappedâ€™, â€˜anxiousâ€™ and â€˜traumatisedâ€™: COVID-19 intensified the impact of housing inequality on Australiansâ€™ mental health</t>
  </si>
  <si>
    <t>Ethnobiology Phase VI: Decolonizing Institutions, Projects, and Scholarship</t>
  </si>
  <si>
    <t>COVID-19, structural racism, and migrant health in Canada</t>
  </si>
  <si>
    <t>Environmental (in)justice in the Anthropocene ocean</t>
  </si>
  <si>
    <t>The political economy of sugar-sweetened beverage taxation in Latin America: lessons from Mexico, Chile and Colombia</t>
  </si>
  <si>
    <t>Engaging the tropical majority to make ocean governance and science more equitable and effective</t>
  </si>
  <si>
    <t>Explaining variations in state COVID-19 responses: psychological, institutional, and strategic factors in governance and public policy-making</t>
  </si>
  <si>
    <t>Governing the Land-Sea Interface to Achieve Sustainable Coastal Development</t>
  </si>
  <si>
    <t>Global prison health care governance and health equity: A critical lack of evidence</t>
  </si>
  <si>
    <t>Social Media, Cognitive Reflection, and Conspiracy Beliefs</t>
  </si>
  <si>
    <t>Reciprocal Contributions between People and Nature: A Conceptual Intervention</t>
  </si>
  <si>
    <t>Decent work in fisheries: Current trends and key considerations for future research and policy</t>
  </si>
  <si>
    <t>Inaccurate and Biased Global Media Coverage Underlies Public Misunderstanding of Shark Conservation Threats and Solutions</t>
  </si>
  <si>
    <t>Imagining a sustainable world: Measuring cognitive alternatives to the environmental status quo</t>
  </si>
  <si>
    <t>Active Solidarity: Intersectional Solidarity in Action</t>
  </si>
  <si>
    <t>The Instagram Infodemic: Cobranding of Conspiracy Theories, Coronavirus Disease 2019 and Authority-Questioning Beliefs</t>
  </si>
  <si>
    <t>‘Trapped’, ‘anxious’ and ‘traumatised’: COVID-19 intensified the impact of housing inequality on Australians’ mental health</t>
  </si>
  <si>
    <t>Fish, People, and Systems of Power: Understanding and Disrupting Feedback between Colonialism and Fisheries Science</t>
  </si>
  <si>
    <t>Disrupting and diversifying the values, voices and governance principles that shape biodiversity science and management</t>
  </si>
  <si>
    <t>Widespread diversity deficits of coral reef sharks and rays</t>
  </si>
  <si>
    <t>Proposed solutions to anthropogenic climate change: A systematic literature review and a new way forward</t>
  </si>
  <si>
    <t>A qualitative investigation of unsupervised outdoor activities for 10- to 13-year-old children: â€œI like adventuring but I don't like adventuring without being carefulâ€</t>
  </si>
  <si>
    <t>Ethical Implications of Artificial Intelligence in Population Health and the Publicâ€™s Role in Its Governance: Perspectives From a Citizen and Expert Panel</t>
  </si>
  <si>
    <t>Rethinking walkability and developing a conceptual definition of active living environments to guide research and practice</t>
  </si>
  <si>
    <t>Collective market shaping by competitors and its contribution to market resilience</t>
  </si>
  <si>
    <t>Is Neoliberalism Killing Us? A Cross Sectional Study of the Impact of Neoliberal Beliefs on Health and Social Wellbeing in the Midst of the COVID-19 Pandemic</t>
  </si>
  <si>
    <t>Designing Public Policies</t>
  </si>
  <si>
    <t>Letâ€™s do better: public representations of COVID-19 science</t>
  </si>
  <si>
    <t>Designing for adaptation: Static and dynamic robustness in policy-making</t>
  </si>
  <si>
    <t>Evaluation of risk mitigation measures for people with substance use disorders to address the dual public health crises of COVID-19 and overdose in British Columbia: a mixed-method study protocol</t>
  </si>
  <si>
    <t>Safety perceptions of older adults on an urban greenway: Interplay of the social and built environment</t>
  </si>
  <si>
    <t>Ecological erosion and expanding extinction risk of sharks and rays</t>
  </si>
  <si>
    <t>Associations of substance use, psychosis, and mortality among people living in precarious housing or homelessness: A longitudinal, community-based study in Vancouver, Canada</t>
  </si>
  <si>
    <t>On the protective role of identification with a stigmatized identity: Promoting engagement and discouraging disengagement coping strategies</t>
  </si>
  <si>
    <t>Building a multisystemic understanding of societal resilience to the COVID-19 pandemic</t>
  </si>
  <si>
    <t>Asymmetries in urban, suburban, and rural place-based resentment</t>
  </si>
  <si>
    <t>Conceptions and perspectives of data literacy in secondary education</t>
  </si>
  <si>
    <t>Under pressure: Factors shaping urban greenspace provision in a mid-sized city</t>
  </si>
  <si>
    <t>Urban sustainability: From theory influences to practical agendas</t>
  </si>
  <si>
    <t>Why we need to be careful with LLMs in medicine</t>
  </si>
  <si>
    <t>Ageing in place processes in the neighbourhood environment: aÂ proposed conceptual framework from a capability approach</t>
  </si>
  <si>
    <t>Who learns what in sustainability transitions?</t>
  </si>
  <si>
    <t>Unsettling transitions: Representing Indigenous peoples and knowledge in transitions research</t>
  </si>
  <si>
    <t>Let’s do better: public representations of COVID-19 science</t>
  </si>
  <si>
    <t>Sharing Indigenous Knowledge through intergenerational digital storytelling: Design of a workshop engaging Elders and youth</t>
  </si>
  <si>
    <t>A qualitative investigation of unsupervised outdoor activities for 10- to 13-year-old children: “I like adventuring but I don't like adventuring without being careful”</t>
  </si>
  <si>
    <t>Rethinking blue economy governance â€“ A blue economy equity model as an approach to operationalise equity</t>
  </si>
  <si>
    <t>Multiple anthropogenic stressors in the Galápagos Islands' complex social–ecological system: Interactions of marine pollution, fishing pressure, and climate change with management recommendations</t>
  </si>
  <si>
    <t>â€œWe see each other from a distanceâ€: Neighbourhood social relationships during the COVID-19 pandemic matter for older adultsâ€™ social connectedness</t>
  </si>
  <si>
    <t>The Resilient Melbourne experiment: Analyzing the conditions for transformative urban resilience implementation</t>
  </si>
  <si>
    <t>The Opening of the Apartheid Mind: Options for the New South Africa</t>
  </si>
  <si>
    <t>Location matters: Valuing firmâ€specific nonmarket risk in the global mining industry</t>
  </si>
  <si>
    <t>Data Governance in the Age of Large-Scale Data-Driven Language Technology</t>
  </si>
  <si>
    <t>The impact of end-demand legislation on sex workersâ€™ access to health and sex worker-led services: A community-based prospective cohort study in Canada</t>
  </si>
  <si>
    <t>Aging in the Right Place: A Conceptual Framework of Indicators for Older Persons Experiencing Homelessness</t>
  </si>
  <si>
    <t>Dynamics of behavior change in the &lt;scp&gt;COVID&lt;/scp&gt; world</t>
  </si>
  <si>
    <t>Multi-Goal Multi-Agent Pickup and Delivery</t>
  </si>
  <si>
    <t>Access to Environmental Cognitive Alternatives Predicts Pro-Environmental Activist Behavior</t>
  </si>
  <si>
    <t>Risks of mining to salmonid-bearing watersheds</t>
  </si>
  <si>
    <t>Ten new insights in climate science 2023</t>
  </si>
  <si>
    <t>From Belief Polarization to Echo Chambers: A Rationalizing Account</t>
  </si>
  <si>
    <t>Factors associated with drug checking service utilization among people who use drugs in a Canadian setting</t>
  </si>
  <si>
    <t>Sex Work, Health, and Human Rights</t>
  </si>
  <si>
    <t>Location matters: Valuing firm-specific nonmarket risk in the global mining industry</t>
  </si>
  <si>
    <t>When Science Becomes Embroiled in Conflict: Recognizing the Publicâ€™s Need for Debate while Combating Conspiracies and Misinformation</t>
  </si>
  <si>
    <t>Full-spectrum sustainability: An alternative to fisheries management panaceas</t>
  </si>
  <si>
    <t>Shelter/housing options, supports and interventions for older people experiencing homelessness</t>
  </si>
  <si>
    <t>Evaluation of risk mitigation measures for people with substance use disorders to address the dual public health crises of COVID-19 and overdose in British Columbia: A mixed-method study protocol</t>
  </si>
  <si>
    <t>Can Corporate Social Responsibility Lead to Social License? A Sentiment and Emotion Analysis</t>
  </si>
  <si>
    <t>Systematic review of risk and protective factors associated with substance use and abuse in individuals with autism spectrum disorders</t>
  </si>
  <si>
    <t>Uncomfortable knowledge: Mechanisms of urban development in adaptation governance</t>
  </si>
  <si>
    <t>Maximizing the potential of trauma registries in low-income and middle-income countries</t>
  </si>
  <si>
    <t>Ethical Implications of Artificial Intelligence in Population Health and the Public’s Role in Its Governance: Perspectives from a Citizen and Expert Panel</t>
  </si>
  <si>
    <t>Cyclist crash rates and risk factors in a prospective cohort in seven European cities</t>
  </si>
  <si>
    <t>GOVERNING URBAN AGRICULTURE: Formalization, Resistance and Re-visioning in Two ‘Green’ Cities</t>
  </si>
  <si>
    <t>The Challenge of Postdigital Literacy: Extending Multimodality and Social Semiotics for a New Age</t>
  </si>
  <si>
    <t>The routledge handbook of policy styles</t>
  </si>
  <si>
    <t>Does resource insecurity drive HIVâ€related stigma? Associations between food and housing insecurity with HIVâ€related stigma in cohort of women living with HIV in Canada</t>
  </si>
  <si>
    <t>COVID-19 and Vitamin D Misinformation on YouTube: Content Analysis</t>
  </si>
  <si>
    <t>Latent patterns of polysubstance use among people who use opioids: A systematic review</t>
  </si>
  <si>
    <t>Racialized, Gendered, and Sensationalized: An examination of Canadian anti-trafficking laws, their enforcement, and their (re)presentation</t>
  </si>
  <si>
    <t>Interests driven or socially mobilized? Place attachment, social capital, and neighborhood participation in urban China</t>
  </si>
  <si>
    <t>Agreements and benefits in emerging ocean sectors: Are we moving towards an equitable Blue Economy?</t>
  </si>
  <si>
    <t>Cognitive decline and mortality in a community-based sample of homeless and precariously housed adults: 9-year prospective study</t>
  </si>
  <si>
    <t>Ageing in place processes in the neighbourhood environment: a proposed conceptual framework from a capability approach</t>
  </si>
  <si>
    <t>Who were these bike lanes built for? Social-spatial inequities in Vancouver's bikeways, 2001â€“2016</t>
  </si>
  <si>
    <t>Nothing about us without us in writing: aligning the editorial policies of the Canadian Journal of Public Health with the inherent rights of Indigenous Peoples; Que rien à propos de nous ne soit écrit sans nous : l’harmonisation des politiques éditoriales de la Revue canadienne de santé publique avec les droits inhérents des peuples autochtones</t>
  </si>
  <si>
    <t>Comparative Public Policy Analysis of COVID-19 as a Naturally Occurring Experiment</t>
  </si>
  <si>
    <t>Science in motion: A qualitative analysis of journalistsâ€™ use and perception of preprints</t>
  </si>
  <si>
    <t>Sharpening our public health lens: advancing im/migrant health equity during COVID-19 and beyond</t>
  </si>
  <si>
    <t>Developing indicators of age-friendly neighbourhood environments for urban and rural communities across 20 low-, middle-, and high-income countries</t>
  </si>
  <si>
    <t>Where is the policy? A bibliometric analysis of the state of policy research on medical tourism</t>
  </si>
  <si>
    <t>Blueing business as usual in the ocean: Blue economies, oil, and climate justice</t>
  </si>
  <si>
    <t>Designing policy resilience: lessons from the Affordable Care Act</t>
  </si>
  <si>
    <t>Colonial Legacies Influence Biodiversity Lessons: How Past Trade Routes and Power Dynamics Shape Present-Day Scientific Research and Professional Opportunities for Caribbean Scientists</t>
  </si>
  <si>
    <t>Characterizing motivations for cannabis use in a cohort of people who use illicit drugs: A latent class analysis</t>
  </si>
  <si>
    <t>Ecological Civilization: A Blindspot in Global Media Coverage of Chinaâ€™s Environmental Governance</t>
  </si>
  <si>
    <t>“We see each other from a distance”: Neighbourhood social relationships during the COVID-19 pandemic matter for older adults’ social connectedness</t>
  </si>
  <si>
    <t>Red Zones</t>
  </si>
  <si>
    <t>Fatherhood, egalitarianism, and child health in two small-scale societies in the Republic of the Congo</t>
  </si>
  <si>
    <t>The â€œSticky Notesâ€ Method: Adapting Interpretive Description Methodology for Team-Based Qualitative Analysis in Community-Based Participatory Research</t>
  </si>
  <si>
    <t>Priority effects transcend scales and disciplines in biology</t>
  </si>
  <si>
    <t>Effectiveness of Housing First for Homeless Adults with Mental Illness Who Frequently Use Emergency Departments in a Multisite Randomized Controlled Trial</t>
  </si>
  <si>
    <t>Enabling coexistence: Navigating predatorâ€induced regime shifts in humanâ€ocean systems</t>
  </si>
  <si>
    <t>Rethinking blue economy governance – A blue economy equity model as an approach to operationalise equity</t>
  </si>
  <si>
    <t>What About Equity? Neighborhood Deprivation and Cannabis Retailers in Portland, Oregon</t>
  </si>
  <si>
    <t>Tracking widespread climate-driven change on temperate and tropical reefs</t>
  </si>
  <si>
    <t>Red Zones : Criminal Law and the Territorial Governance of Marginalized People</t>
  </si>
  <si>
    <t>How Neighbourhood Food Environments and a Pay-as-You-Throw (PAYT) Waste Program Impact Household Food Waste Disposal in the City of Toronto</t>
  </si>
  <si>
    <t>Narratives and networks model of the social licence</t>
  </si>
  <si>
    <t>The impact of end-demand legislation on sex workers' access to health and sex worker-led services: A community-based prospective cohort study in Canada</t>
  </si>
  <si>
    <t>Calibration and specification in policy practice: Micro-dimensions of policy design</t>
  </si>
  <si>
    <t>Whiteness, Power and the Politics of Demographics in the Governance of the Canadian Academy</t>
  </si>
  <si>
    <t>Ecological Civilization: A Blindspot in Global Media Coverage of China’s Environmental Governance</t>
  </si>
  <si>
    <t>Analyzing national policy styles empirically using the Sustainable Governance Indicators (SGI): insights into longâ€term patterns of policyâ€making</t>
  </si>
  <si>
    <t>Stronger together: Countryâ€ofâ€origin agglomeration and multinational enterprise location choice in an adverse institutional environment</t>
  </si>
  <si>
    <t>Crowdfunding cannabidiol (CBD) for cancer: Hype and misinformation on gofundme</t>
  </si>
  <si>
    <t>Vaccine nationalism will persist: global public goods need effective engagement of global citizens</t>
  </si>
  <si>
    <t>Stakeholders Walkability/Wheelability Audit in Neighbourhoods (SWAN): user-led audit and photographic documentation in Canada</t>
  </si>
  <si>
    <t>Formulating a 100-year strategy for managing coastal hazard risk in a changing climate: Lessons learned from Hawkeâ€™s Bay, New Zealand</t>
  </si>
  <si>
    <t>Holding out the promise of Lasswell's dream: Big data analytics in public policy research and teaching</t>
  </si>
  <si>
    <t>Conceptualizing the shelter and housing needs and solutions of homeless older adults</t>
  </si>
  <si>
    <t>How â€œaccessibleâ€ is open data?</t>
  </si>
  <si>
    <t>Urban renewal without gentrification: toward dual goals of neighborhood revitalization and community preservation?</t>
  </si>
  <si>
    <t>The 2023 wildfires in British Columbia, Canada: impacts, drivers, and transformations to coexist with wildfire</t>
  </si>
  <si>
    <t>Total systems failure: police officers’ perspectives on the impacts of the justice, health, and social service systems on people who use drugs</t>
  </si>
  <si>
    <t>Patterns of Suicide and Suicidal Ideation in Relation to Social Isolation and Loneliness in Newcomer Populations: A Review</t>
  </si>
  <si>
    <t>Underreporting of violence to police among women sex workers in Canada: Amplified inequities for IM/migrant and in-call workers prior to and following end-demand legislation</t>
  </si>
  <si>
    <t>Charting Past, Present, and Future Research in the Semantic Web and Interoperability</t>
  </si>
  <si>
    <t>Science in motion: A qualitative analysis of journalists' use and perception of preprints</t>
  </si>
  <si>
    <t>Understanding barriers, access, and management of marine mixed-stock fisheries in an era of reconciliation: Indigenous-led salmon monitoring in British Columbia</t>
  </si>
  <si>
    <t>Psychedelic use is associated with reduced daily opioid use among people who use illicit drugs in a Canadian setting</t>
  </si>
  <si>
    <t>The role of community benefit agreements in natural resource governance and community development: Issues and prospects</t>
  </si>
  <si>
    <t>Community participation in activities and places among older adults with and without dementia</t>
  </si>
  <si>
    <t>Facing the challenges of using place-based social-ecological research to support ecosystem service governance at multiple scales</t>
  </si>
  <si>
    <t>Supporting women leaving prison through peer health mentoring: a participatory health research study</t>
  </si>
  <si>
    <t>A â€œStrongâ€ Approach to Sustainability Literacy: Embodied Ecology and Media</t>
  </si>
  <si>
    <t>Climate Reputation and Bank Loan Contracting</t>
  </si>
  <si>
    <t>Qualitative evaluation of a mandatory health insurance â€˜wait periodâ€™ in a publicly funded health system: understanding health inequities for newcomer im/migrant women</t>
  </si>
  <si>
    <t>Public experiences and perspectives of primary care in Canada: results from a cross-sectional survey</t>
  </si>
  <si>
    <t>Housing and psychosocial well-being during the COVID-19 pandemic</t>
  </si>
  <si>
    <t>Proposed Principles for International Bioethics Conferencing: Anti-Discriminatory, Global, and Inclusive</t>
  </si>
  <si>
    <t>Planning a just nature-based city: Listening for the voice of an urban river</t>
  </si>
  <si>
    <t>Conceptualizing citizenship in dementia: A scoping review of the literature</t>
  </si>
  <si>
    <t>Predicting walking-to-work usingÂ street-level imagery and deep learning inÂ seven Canadian cities</t>
  </si>
  <si>
    <t>Does resource insecurity drive HIV-related stigma? Associations between food and housing insecurity with HIV-related stigma in cohort of women living with HIV in Canada</t>
  </si>
  <si>
    <t>Theorizing the behavioral state: Resolving the theory-practice paradox of policy sciences</t>
  </si>
  <si>
    <t>Emotional Practices and How We Can Trace Them: Diplomats, Emojis, and Multilateral Negotiations at the UNHRC</t>
  </si>
  <si>
    <t>Formulating a 100-year strategy for managing coastal hazard risk in a changing climate: Lessons learned from Hawke's Bay, New Zealand</t>
  </si>
  <si>
    <t>â€œResponding to an Epidemic Requires a Compassionate Stateâ€: How Has the Indian State Been Doing in the Time of COVID-19?</t>
  </si>
  <si>
    <t>Correlates of suicidal ideation related to the COVID-19 Pandemic: Repeated cross-sectional nationally representative Canadian data</t>
  </si>
  <si>
    <t>Feminist waves, global activism, and gender violence regimes: Genealogy and impact of a global wave</t>
  </si>
  <si>
    <t>The “Sticky Notes” Method: Adapting Interpretive Description Methodology for Team-Based Qualitative Analysis in Community-Based Participatory Research</t>
  </si>
  <si>
    <t>Indigenous knowledge of key ecological processes confers resilience to a smallâ€scale kelp fishery</t>
  </si>
  <si>
    <t>Mental health among transgender women living with HIV in Canada: findings from a national community-based research study</t>
  </si>
  <si>
    <t>Identifying Shelter and Housing Models for Older People Experiencing Homelessness</t>
  </si>
  <si>
    <t>A participatory approach for empowering community engagement in data governance: The Monash Net Zero Precinct</t>
  </si>
  <si>
    <t>Cost-effectiveness of housing first with assertive community treatment: Results from the canadian at home/chez soi trial</t>
  </si>
  <si>
    <t>Do changes in primary care service use over time differ by neighbourhood income? Population-based longitudinal study in British Columbia, Canada</t>
  </si>
  <si>
    <t>The Role of Mandatory and Voluntary Approaches for a Sustainable Housing Transition: Evidence from Vancouver and Melbourne</t>
  </si>
  <si>
    <t>Dealing with the challenges of legitimacy, values, and politics in policy advice</t>
  </si>
  <si>
    <t>Contextualizing Innovative Housing Models and Services Within the Age-Friendly Communities Framework</t>
  </si>
  <si>
    <t>Crime down in the Paris of the prairies: Spatial effects of COVID-19 and crime during lockdown in Saskatoon, Canada</t>
  </si>
  <si>
    <t>Vaccine hesitancy in online spaces: A scoping review of the research literature, 2000-2020</t>
  </si>
  <si>
    <t>June Fourth</t>
  </si>
  <si>
    <t>Identifying a pathway towards recovery for depleted wild Pacific salmon populations in a large watershed under multiple stressors</t>
  </si>
  <si>
    <t>Talking back: trans youth and resilience in action</t>
  </si>
  <si>
    <t>Patient engagement in the SPOR Evidence Alliance: Reflection and learnings</t>
  </si>
  <si>
    <t>Prior social contact and mental health trajectories during covid-19: Neighborhood friendship protects vulnerable older adults</t>
  </si>
  <si>
    <t>CEO gender and readability of annual reports: do female CEOsâ€™ demographic attributes matter?</t>
  </si>
  <si>
    <t>Intersections of Ageism and Homelessness Among Older Adults: Implications for Policy, Practice, and Research</t>
  </si>
  <si>
    <t>Expertise, policy advice, and policy advisory systems in an open, participatory, and populist era: New challenges to research and practice</t>
  </si>
  <si>
    <t>Facilitating peaceful rise: The increasing role of geopolitics and domestic legitimacy in China's energy policy</t>
  </si>
  <si>
    <t>Environmental Influences on Life Satisfaction and Depressive Symptoms Among Older Adults With Multimorbidity: Path Analysis Through Loneliness in the Canadian Longitudinal Study on Aging</t>
  </si>
  <si>
    <t>â€œA right place for everybodyâ€: Supporting aging in the right place for older people experiencing homelessness</t>
  </si>
  <si>
    <t>Analyzing national policy styles empirically using the Sustainable Governance Indicators (SGI): insights into long-term patterns of policy-making</t>
  </si>
  <si>
    <t>In a world called catastrophe: the impact of COVID-19 on neighbourhood level crime in Vancouver, Canada</t>
  </si>
  <si>
    <t>The influence of governance structure on the relationship between pay ratio and environmental and social performance</t>
  </si>
  <si>
    <t>Enabling coexistence: Navigating predator-induced regime shifts in human-ocean systems</t>
  </si>
  <si>
    <t>Enhancing Policy Capacity for Better Policy Integration: Achieving the Sustainable Development Goals in a Post COVID-19 World</t>
  </si>
  <si>
    <t>The association between experiencing homelessness in childhood or youth and adult housing stability in Housing First</t>
  </si>
  <si>
    <t>Examining the Relationships between Cumulative Childhood Adversity and the Risk of Criminal Justice Involvement and Victimization among Homeless Adults with Mental Illnesses after Receiving Housing First Intervention</t>
  </si>
  <si>
    <t>Who were these bike lanes built for? Social-spatial inequities in Vancouver's bikeways, 2001–2016</t>
  </si>
  <si>
    <t>Establishing a Common Nutritional Vocabulary - From Food Production to Diet</t>
  </si>
  <si>
    <t>Sex work, health, and human rights: Global inequities, challenges, and opportunities for action</t>
  </si>
  <si>
    <t>WhatsApp with Diplomatic Practices in Geneva? Diplomats, Digital Technologies, and Adaptation in Practice</t>
  </si>
  <si>
    <t>Colonial Numbers: Quantification, Indigeneity, and the Politics of Fiscal Surveillance</t>
  </si>
  <si>
    <t>Role of community trust in driving brand loyalty in large online B2B communities</t>
  </si>
  <si>
    <t>Achieving holistic care for refugees: The experiences of educators and other stakeholders in Surrey and Greater Vancouver, Canada</t>
  </si>
  <si>
    <t>How did Russian and Iranian trollsâ€™ disinformation toward Canadian issues diverge and converge?</t>
  </si>
  <si>
    <t>The role of tool calibrations and policy specifications in policy change: evidence from healthcare reform efforts in Korea 1990-2020</t>
  </si>
  <si>
    <t>Not in my neighbourâ€™s back yard? Laneway homes and neighboursâ€™ property values</t>
  </si>
  <si>
    <t>Braiding Indigenous rights and endangered species law</t>
  </si>
  <si>
    <t>Science Communication as a Collective Intelligence Endeavor: A Manifesto and Examples for Implementation</t>
  </si>
  <si>
    <t>Fishing as a livelihood, a way of life, or just a job: considering the complexity of “fishing communities” in research and policy</t>
  </si>
  <si>
    <t>Manufacturing rage: The Russian Internet Research Agencyâ€™s political astroturfing on social media</t>
  </si>
  <si>
    <t>Transmission analysis of a large tuberculosis outbreak in London: a mathematical modelling study using genomic data</t>
  </si>
  <si>
    <t>Party Cues in the News: Democratic Elites, Republican Backlash and the Dynamics of Climate Skepticism</t>
  </si>
  <si>
    <t>Standardized mortality ratios between street-connected young people and the general age-equivalent population in an urban setting in Kenya from 2010 to 2015</t>
  </si>
  <si>
    <t>FORUM: COVID-19 and IR Scholarship: One Profession, Many Voices</t>
  </si>
  <si>
    <t>Qualitative evaluation of a mandatory health insurance 'wait period' in a publicly funded health system: Understanding health inequities for newcomer im/migrant women</t>
  </si>
  <si>
    <t>Considering the health and social welfare impacts of nonâ€medical cannabis legalization</t>
  </si>
  <si>
    <t>Research note: The spread of political misinformation on online subcultural platforms</t>
  </si>
  <si>
    <t>Drug-related harm coinciding with income assistance payments: results from a community-based cohort of people who use drugs</t>
  </si>
  <si>
    <t>Detecting and responding to hostile disinformation activities on social media using machine learning and deep neural networks</t>
  </si>
  <si>
    <t>Chronic Pain among Individuals Experiencing Homelessness and Its Interdependence with Opioid and Other Substance Use and Mental Illness</t>
  </si>
  <si>
    <t>New Dimensions of Global Feminist Influence: Tracking Feminist Mobilization Worldwide, 1975â€“2015</t>
  </si>
  <si>
    <t>Spatially varying relationships between immigration measures and property crime Types in Vancouver Census Tracts, 2016</t>
  </si>
  <si>
    <t>Day-to-day impact of COVID-19 and other factors associated with risk of nonfatal overdose among people who use unregulated drugs in five cities in the United States and Canada</t>
  </si>
  <si>
    <t>Influence of the built environment on community mobility of people living with visual disabilities: a scoping review</t>
  </si>
  <si>
    <t>Stronger together: Country-of-origin agglomeration and multinational enterprise location choice in an adverse institutional environment</t>
  </si>
  <si>
    <t>Appealing to the Crowd</t>
  </si>
  <si>
    <t>Childrenâ€™s digital play as collective family resilience in the face of the pandemic</t>
  </si>
  <si>
    <t>Agonistic failures: Following policy conflicts in Berlinâ€™s urban cultural politics</t>
  </si>
  <si>
    <t>Facilitating and supporting the engagement of patients, families and caregivers in research: the “Ottawa model” for patient engagement in research</t>
  </si>
  <si>
    <t>Oil, Transitions, and the Blue Economy in Canada</t>
  </si>
  <si>
    <t>Multimorbidity resilience and COVID-19 pandemic self-reported impact and worry among older adults: a study based on the Canadian Longitudinal Study on Aging (CLSA)</t>
  </si>
  <si>
    <t>â€˜Communities are not at the periphery, rather they are at the centre of Restorative Justice in BCâ€™: an inquiry into the praxis of Restorative Justice in British Columbia, Canada</t>
  </si>
  <si>
    <t>Cross-cultural perspectives on the meaning of family quality of life: Comparing Korean immigrant families and Canadian families of children with autism spectrum disorder</t>
  </si>
  <si>
    <t>Third-party crime reporting: examining the effects of perceived social cohesion and confidence in police effectiveness</t>
  </si>
  <si>
    <t>Indigenous knowledge of key ecological processes confers resilience to a small-scale kelp fishery</t>
  </si>
  <si>
    <t>Making space for the human: Rights, the Anthropocene and recognition</t>
  </si>
  <si>
    <t>The two solitudes of Canadian nativism: Explaining the absence of a competitive anti-immigration party in Canada</t>
  </si>
  <si>
    <t>Investigation of COVID-19 Misinformation in Arabic on Twitter: Content Analysis</t>
  </si>
  <si>
    <t>How “accessible” is open data?: Analysis of context-related information and users’ comments in open datasets</t>
  </si>
  <si>
    <t>Dealing with the challenges ofÂ legitimacy, values, andÂ politics inÂ policy advice</t>
  </si>
  <si>
    <t>Is short-term debt a substitute for or complementary to good governance?</t>
  </si>
  <si>
    <t>Predicting walking-to-work using street-level imagery and deep learning in seven Canadian cities</t>
  </si>
  <si>
    <t>Policy Assemblages and Policy Resilience: Lessons for Non-Design from Evolutionary Governance Theory</t>
  </si>
  <si>
    <t>Food access, mobility, and transportation: a survey and key informant interviews of users of non-profit food hubs in the City of Vancouver before and during the COVID-19 crisis</t>
  </si>
  <si>
    <t>Doing community-based research during dual public health emergencies (COVID and overdose)</t>
  </si>
  <si>
    <t>Assessing policy analytical capacity in contemporary governments: New measures and metrics</t>
  </si>
  <si>
    <t>Towards an index of linguistic justice</t>
  </si>
  <si>
    <t>Governing the Belongings of the Precariously Housed: A Critical Legal Geography</t>
  </si>
  <si>
    <t>June Fourth: The Tiananmen Protests and Beijing Massacre of 1989</t>
  </si>
  <si>
    <t>French participation in transnational migration networks: understanding city (dis)involvement and â€œpassivismâ€</t>
  </si>
  <si>
    <t>A “strong” approach to sustainability literacy: Embodied ecology and media</t>
  </si>
  <si>
    <t>Vocal, visible and vulnerable: female politicians at the intersection of Islamophobia, sexism and liberal multiculturalism</t>
  </si>
  <si>
    <t>How neighbourhood food environments and a pay-as-you-throw (PAYT) waste program impact household foodwaste disposal in the city of Toronto</t>
  </si>
  <si>
    <t>Tensions between municipal reform and outdated fiscal levers in rural British Columbia</t>
  </si>
  <si>
    <t>SPatially varying relationships between immigration measures and property crime types in vancouver census tracts, 2016</t>
  </si>
  <si>
    <t>Ethics dumping in artificial intelligence</t>
  </si>
  <si>
    <t>Intersections of Ageism and Homelessness among Older Adults: Implications for Policy, Practice, and Research</t>
  </si>
  <si>
    <t>Aging in the Right Place for Older Adults Experiencing Housing Insecurity: An Environmental Assessment of Temporary Housing Program</t>
  </si>
  <si>
    <t>Delivering Services to Older Persons Experiencing Homelessness: Providersâ€™ Perspectives of What Does and Does Not Work</t>
  </si>
  <si>
    <t>Creating ‘resilience imaginaries’ for city-regional planning</t>
  </si>
  <si>
    <t>Situating social connectedness in healthy cities: a conceptual primer for research and policy</t>
  </si>
  <si>
    <t>The Lesbian, Gay and Bisexual Vote in a More Tolerant Canada</t>
  </si>
  <si>
    <t>Unsettling NbS: A pathway towards shifting colonial power relations in nature-based solutions research and practice</t>
  </si>
  <si>
    <t>The Canadian Bikeway Comfort and Safety metrics (Can-BICS): National measures of the bicycling environment for use in research and policy</t>
  </si>
  <si>
    <t>Bridging Researchâ€Practice Tensions: Exploring Dayâ€toâ€Day Engaged Scholarship Investigating Sustainable Development Challenges</t>
  </si>
  <si>
    <t>FORUM: COVID-19 and IR scholarship: One profession, many voices</t>
  </si>
  <si>
    <t>â€˜We donâ€™t have the right to get sickâ€™: A qualitative study of gaps in public health insurance among Im/migrant women in British Columbia, Canada</t>
  </si>
  <si>
    <t>Top executive gender diversity and financial reporting quality</t>
  </si>
  <si>
    <t>Assessing the role of subjective judgment and science in environmental impact assessment: implications and options for reform</t>
  </si>
  <si>
    <t>The politics of military procurement: the F-35 purchasing process in Canada and &lt;i&gt;Australia&lt;/i&gt; Compared</t>
  </si>
  <si>
    <t>Racialized, gendered, and sensationalized: An examination of Canadian anti-trafficking laws, their enforcement, and their (re)presentation</t>
  </si>
  <si>
    <t>The Significance of Leadership in the Evolution of Policy Styles: Reconciling Policy-Making in the Short and Long Term</t>
  </si>
  <si>
    <t>Towards critical analysis of the political determinants of health: comment on “how neoliberalism is shaping the supply of unhealthy commodities and what this means for NCD prevention”</t>
  </si>
  <si>
    <t>The liquidification of international politics and Trumpâ€™s (un)diplomacy on Twitter</t>
  </si>
  <si>
    <t>99 Reasons and He Ain’t One: A Content Analysis of Domestic Homicide News Coverage</t>
  </si>
  <si>
    <t>Teaching Science as a Process, Not a Set of Facts</t>
  </si>
  <si>
    <t>Injecting drugs alone during an overdose crisis in Vancouver, Canada</t>
  </si>
  <si>
    <t>Relational place-based solutions for environmental policy misalignments</t>
  </si>
  <si>
    <t>COVID-19 vaccine hesitancy in Africa: A scoping review</t>
  </si>
  <si>
    <t>From advocacy to acceptance: Social media discussions of protected bike lane installations</t>
  </si>
  <si>
    <t>Analyzing natural herd immunity media discourse in the United Kingdom and the United States</t>
  </si>
  <si>
    <t>What Do We Know about Power Sharing after 50 Years?</t>
  </si>
  <si>
    <t>‘Communities are not at the periphery, rather they are at the centre of Restorative Justice in BC’: an inquiry into the praxis of Restorative Justice in British Columbia, Canada</t>
  </si>
  <si>
    <t>Out-of-home participation among people living with dementia: A study in four countries</t>
  </si>
  <si>
    <t>Mapping flows of blue economy finance: Ambitious narratives, opaque actions, and social equity risks</t>
  </si>
  <si>
    <t>“Responding to an epidemic requires a compassionate state”: How has the Indian state been doing in the time of Covid-19?</t>
  </si>
  <si>
    <t>The use of influential power in ocean governance</t>
  </si>
  <si>
    <t>From self-government to government of the self: Fiscal subjectivity, Indigenous governance and the politics of transparency</t>
  </si>
  <si>
    <t>Social trust, corporate governance, and stock price crash risk: Evidence from China</t>
  </si>
  <si>
    <t>After dispossession: An urban rights praxis of remaining in Vancouver’s Downtown Eastside</t>
  </si>
  <si>
    <t>A Transition to Sustainable Housing: Progress and Prospects for a Low Carbon Housing Future</t>
  </si>
  <si>
    <t>Land use planning and the making of a â€˜properly propertiedâ€™ Vancouver</t>
  </si>
  <si>
    <t>Governing Global Antimicrobial Resistance: 6 Key Lessons from the Paris Climate Agreement</t>
  </si>
  <si>
    <t>How client criminalisation under end-demand sex work laws shapes the occupational health and safety of sex workers in Metro Vancouver, Canada: a qualitative study</t>
  </si>
  <si>
    <t>Emergency department use for mental and substance use disorders: Descriptive analysis of population-based, linked administrative data in British Columbia, Canada</t>
  </si>
  <si>
    <t>Have a Go or Lay Low? Predicting Firmsâ€™ Rhetorical Commitment versus Avoidance in Response to Polylithic Governmental Pressures</t>
  </si>
  <si>
    <t>Community benefit agreements and natural resource development: Achieving better outcomes</t>
  </si>
  <si>
    <t>Socioeconomic marginalization and risk of overdose in a community-recruited cohort of people who use drugs: A longitudinal analysis</t>
  </si>
  <si>
    <t>Improving mining community benefits through better monitoring and evaluation</t>
  </si>
  <si>
    <t>Damage Control: How Campaign Teams Interpret and Respond to Online Incivility</t>
  </si>
  <si>
    <t>Crowdfunding Campaigns and COVID-19 Misinformation</t>
  </si>
  <si>
    <t>#WuhanDiary and #WuhanLockdown: gendered posting patterns and behaviours on Weibo during the COVID-19 pandemic</t>
  </si>
  <si>
    <t>Examining the Relationships between Cumulative Childhood Adversity and the Risk of Criminal Justice Involvement and Victimization among Homeless Adults with Mental Illnesses after Receiving Housing First Intervention; Examen de la relation entre l’adversité cumulative vécue dans l’enfance et le risque de démêlés avec la justice pénale et de victimisation chez les adultes sans abri souffrant de maladie mentale qui ont reçu une intervention de Logement d’abord</t>
  </si>
  <si>
    <t>Broken Promises: Racism and Access to Medicines in Canada</t>
  </si>
  <si>
    <t>Towards a collaborative (public-private partnership) approach to research and development in Canadaâ€™s forest sector: an innovation system perspective</t>
  </si>
  <si>
    <t>The politics of military megaprojects: Discursive struggles in Canadian and Australian naval shipbuilding strategies</t>
  </si>
  <si>
    <t>Hepatitis E Virus in People Who Use Crack-Cocaine: A Cross-Sectional Study in a Remote Region of Northern Brazil</t>
  </si>
  <si>
    <t>Transnational Proximity of the Korean Wave in the Global Cultural Sphere</t>
  </si>
  <si>
    <t>Evaluating evolving experiments: the case of local government action to implement ecological sustainable design</t>
  </si>
  <si>
    <t>“A right place for everybody”: Supporting aging in the right place for older people experiencing homelessness</t>
  </si>
  <si>
    <t>Addressing Privacy Concerns in Sharing Viral Sequences and Minimum Contextual Data in a Public Repository During the COVID-19 Pandemic</t>
  </si>
  <si>
    <t>Twitter Misinformation Discourses About Vaping: Systematic Content Analysis</t>
  </si>
  <si>
    <t>The Significance of Leadership in the Evolution of Policy Styles: Reconciling Policy-Making in the Short and Long Term; Die Bedeutung der politischen Führung für die Entwicklung von Politikstilen: Eine integrierte Betrachtung kurz- und langfristiger Politikgestaltung</t>
  </si>
  <si>
    <t>Who Shares Conspiracy Theories and Other Misinformation about Covid-19 Online: Survey Evidence from Five Countries</t>
  </si>
  <si>
    <t>Shelter Bans Among People Experiencing Homelessness: an Exploratory Study of Predictors in Two Large Canadian Datasets</t>
  </si>
  <si>
    <t>How much are benefit-sharing agreements worth to communities affected by mining?</t>
  </si>
  <si>
    <t>Healthcare system navigation difficulties among informal caregivers of older adults: a logistic regression analysis of social capital, caregiving support and utilization factors</t>
  </si>
  <si>
    <t>Awareness and Understanding of HIV Non-disclosure Case Law and the Role of Healthcare Providers in Discussions About the Criminalization of HIV Non-disclosure Among Women Living with HIV in Canada</t>
  </si>
  <si>
    <t>Differential effects of cannabis exposure during early versus later adolescence on the expression of psychosis in homeless and precariously housed adults</t>
  </si>
  <si>
    <t>Climate solutions to meet the suburban surge: leveraging COVID-19 recovery to enhance suburban climate governance</t>
  </si>
  <si>
    <t>Towards a Situated Spatial Epidemiology of Violence: A Placially-Informed Geospatial Analysis of Homicide in Alagoas, Brazil</t>
  </si>
  <si>
    <t>CEO gender and readability of annual reports: do female CEOs’ demographic attributes matter?</t>
  </si>
  <si>
    <t>Greening the cloud: oligopoly-driven institutional transformations of the US electricity grid for commercial and industrial power purchases</t>
  </si>
  <si>
    <t>What was lost, missing, sought and hoped for: Qualitatively exploring medical crowdfunding campaign narratives for Lyme disease</t>
  </si>
  <si>
    <t>The Cannabis-Dependent Relationship Between Methadone Treatment Dose and Illicit Opioid Use in a Community-Based Cohort of People Who Use Drugs</t>
  </si>
  <si>
    <t>The Slaughter of the Bison and Reversal of Fortunes on the Great Plains</t>
  </si>
  <si>
    <t>The Dark Side of Technological Modularity: Opportunistic Information Hiding During Interorganizational System Adoption</t>
  </si>
  <si>
    <t>Colonialism and the Blue Economy: confronting historical legacies to enable equitable ocean development</t>
  </si>
  <si>
    <t>Disinformation under a networked authoritarian state: Saudi trollsâ€™ credibility attacks against Jamal Khashoggi</t>
  </si>
  <si>
    <t>Governing complex environmental policy mixes through institutional bricolage: lessons from the water-forestry-energy-climate nexus</t>
  </si>
  <si>
    <t>Movement disorders associated with substance use in adults living in precarious housing or homelessness</t>
  </si>
  <si>
    <t>A drug-related Good Samaritan Law and calling emergency medical services for drug overdoses in a Canadian setting</t>
  </si>
  <si>
    <t>Association of homelessness and psychiatric hospital readmissionâ€”a retrospective cohort study 2016â€“2020</t>
  </si>
  <si>
    <t>Agonistic failures: Following policy conflicts in Berlin’s urban cultural politics</t>
  </si>
  <si>
    <t>Moving from government to governance: addressing housing pressures during rapid industrial development in Kitimat, BC, Canada</t>
  </si>
  <si>
    <t>Benefit sharing, power, and the performance of multi-stakeholder institutions at Ghana's Ahafo mine</t>
  </si>
  <si>
    <t>Overall and Gender-specific Associations between Dimensions of Adverse Childhood Experiences and Mental Health Outcomes among Homeless Adults: Associations GÃ©nÃ©rales et SexospÃ©cifiques Entre les Dimensions des ExpÃ©riences DÃ©favorables de Lâ€™enfance et les RÃ©sultats de SantÃ© Mentale Chez les Adultes Sans Abri</t>
  </si>
  <si>
    <t>Policy assemblages and policy resilience: lessons for non‐design from evolutionary governance theory</t>
  </si>
  <si>
    <t>Modifiable Sociostructural and Environmental Factors That Impact the Health and Quality of Life of People With Spinal Cord Injury: A Scoping Review</t>
  </si>
  <si>
    <t>Lack of full citizenship rights linked to heightened client condom refusal among im/migrant sex workers in Metro Vancouver (2010–2018)</t>
  </si>
  <si>
    <t>Protocol for A Mixed-Methods Study: Dementia-Inclusive Streets and Community Access, Participation, and Engagement (DemSCAPE)</t>
  </si>
  <si>
    <t>Use of a digital storytelling workshop to foster development of intergenerational relationships and preserve culture with the nak'azdli first nation: Findings from the nak'azdli lha'hutit'en project</t>
  </si>
  <si>
    <t>â€œGuided by Science and Evidenceâ€? The Politics of Border Management in Canada's Response to the COVID-19 Pandemic</t>
  </si>
  <si>
    <t>The Monetary and Financial Powers of States: Theory, Dataset, and Observations on the Trajectory of American Dominance</t>
  </si>
  <si>
    <t>Meanings of Aging in the Right Place for Older Clients of a Temporary Housing Program</t>
  </si>
  <si>
    <t>Prospects of Return: The Case of Syrian Refugees in Germany</t>
  </si>
  <si>
    <t>Abuse of Marginalized Older Adults During COVID-19</t>
  </si>
  <si>
    <t>Transmission analysis of a large tuberculosis outbreak in london: A mathematical modelling study using genomic data</t>
  </si>
  <si>
    <t>â€˜Femaleâ€™ Sport and Testosterone Panic</t>
  </si>
  <si>
    <t>Have a Go or Lay Low? Predicting Firms’ Rhetorical Commitment versus Avoidance in Response to Polylithic Governmental Pressures</t>
  </si>
  <si>
    <t>Program Management Within Digital Transformation: The Emerging Importance Of Technology Architecture, Product Management, and Human Capital Transformation</t>
  </si>
  <si>
    <t>National standards or territorial autonomy? Public opinion and the politics of fiscal federalism for healthcare in Canada</t>
  </si>
  <si>
    <t>Delivering Services to Older Persons Experiencing Homelessness: Providers’ Perspectives of What Does and Does Not Work</t>
  </si>
  <si>
    <t>Sex worker rights are human rights: an approach to solidaristic normative theory</t>
  </si>
  <si>
    <t>The Effect of Misalignment of CEO Personality and Corporate Governance Structures on Firm Performance</t>
  </si>
  <si>
    <t>Neighborhood Makes or Breaks Active Ageing? Findings from Cross-Sectional Path Analysis</t>
  </si>
  <si>
    <t>Factors contributing to frequent police contact among young people: a multivariate analysis including homelessness, community visibility, and drug use in British Columbia, Canada</t>
  </si>
  <si>
    <t>Better Together: Launching and Nurturing a Community Stakeholder Committee to Enhance Care and Research for Asthma and COPD</t>
  </si>
  <si>
    <t>Technology access is a human right! Illuminating intersectional, digital determinants of health to enable agency in a digitized era</t>
  </si>
  <si>
    <t>Cyber-criminology defense in pervasive environment: A study of cybercrimes in Malaysia</t>
  </si>
  <si>
    <t>Fake News on Twitter in 2016 U.S. Presidential Election: A Quantitative Approach</t>
  </si>
  <si>
    <t>Bridging Research-Practice Tensions: Exploring Day-to-Day Engaged Scholarship Investigating Sustainable Development Challenges</t>
  </si>
  <si>
    <t>Toward Sovereign Indigenous Justice: On Removing the Colonial Straightjacket</t>
  </si>
  <si>
    <t>Gentrification, Urban Interventions and Equity (GENUINE): A map based gentrification tool for Canadian metropolitan areas</t>
  </si>
  <si>
    <t>Political identities of Chinese international students: Patterns and change in transnational space</t>
  </si>
  <si>
    <t>Towards a collaborative (public-private partnership) approach to research and development in Canada's forest sector: an innovation system perspective</t>
  </si>
  <si>
    <t>Multimorbidity and Socioeconomic Deprivation among Older Adults: A Cross-sectional Analysis in Five Canadian Cities Using the CLSA</t>
  </si>
  <si>
    <t>Deep Reinforcement Learning for Intelligent Migration of Fog Services in Smart Cities</t>
  </si>
  <si>
    <t>The sound of the future: listening as data and the politics of soundscape assessment</t>
  </si>
  <si>
    <t>The impact of the COVID-19 pandemic on people who use drugs in three Canadian cities: a cross-sectional analysis</t>
  </si>
  <si>
    <t>Coâ€creating obesity prevention policies with youth: Policy ideas generated through the COâ€CREATE project</t>
  </si>
  <si>
    <t>What is Behavioral in Policy Studies?</t>
  </si>
  <si>
    <t>Learning to innovate: Students and teachers constructing collective innovation practices in a primary schoolâ€™s makerspace</t>
  </si>
  <si>
    <t>Synthesizing the links between secure housing tenure and health for more equitable cities</t>
  </si>
  <si>
    <t>Police seizure of drugs without arrest among people who use drugs in Vancouver, Canada, before provincial ‘decriminalization’ of simple possession: a cohort study</t>
  </si>
  <si>
    <t>Listed publicâ€“private enterprises: stock market information, agency costs and productive efficiency outcomes</t>
  </si>
  <si>
    <t>The disparate economic outcomes of stigma: Evidence from the arms industry</t>
  </si>
  <si>
    <t>Commercial Sex as Valuable? Policy Implications of Sex Workersâ€™ Perspectives on the Contributions of Their Labor</t>
  </si>
  <si>
    <t>â€˜Rising Number of Homeless is the Legacy of Tory Failureâ€™: Discoursal Changes and Transitivity Patterns in the Representation of Homelessness in &lt;i&gt;The Guardian&lt;/i&gt; and &lt;i&gt;Daily Mail&lt;/i&gt; from 2000 to 2018</t>
  </si>
  <si>
    <t>Advertising Alternative Cancer Treatments and Approaches on Meta Social Media Platforms: Content Analysis</t>
  </si>
  <si>
    <t>Amygdala Nuclei Volumes Are Selectively Associated With Social Network Size in Homeless and Precariously Housed Persons</t>
  </si>
  <si>
    <t>Dynamic networks of psychotic symptoms in adults living in precarious housing or homelessness</t>
  </si>
  <si>
    <t>Design Considerations for the Development and Implementation of a Medical Respite for Older Adults Experiencing Homelessness in Metro Vancouver</t>
  </si>
  <si>
    <t>The Dark Side of Technological Modularity: Opportunistic Information Hiding during Interorganizational System Adoption</t>
  </si>
  <si>
    <t>Understanding discrimination towards persons experiencing homelessness: A scoping review protocol</t>
  </si>
  <si>
    <t>Indigenous and nonâ€Indigenous parents separated from their children and experiencing homelessness and mental illness in Canada</t>
  </si>
  <si>
    <t>Transnational Proximity and Universality in Korean Culture: Analysis of Squid Game and BTS</t>
  </si>
  <si>
    <t>Sex Work Governance Models: Variations in a Criminalized Context</t>
  </si>
  <si>
    <t>The liquidification of international politics and Trump’s (un)diplomacy on Twitter</t>
  </si>
  <si>
    <t>Data Pricing and Data Asset Governance in the AI Era</t>
  </si>
  <si>
    <t>Not in my neighbour's back yard? Laneway homes and neighbours’ property values</t>
  </si>
  <si>
    <t>Mental health-related limitations and political leadership in Germany: A multidisciplinary analysis of legal, psychiatric, and ethical frameworks</t>
  </si>
  <si>
    <t>Cancel culture can be collectively validating for groups experiencing harm</t>
  </si>
  <si>
    <t>Chronic pain among individuals experiencing homelessness and its interdependence with opioid and other substance use and mental illness</t>
  </si>
  <si>
    <t>Supportive housing building policies and resident psychological needs: a qualitative analysis using self-determination theory</t>
  </si>
  <si>
    <t>French participation in transnational migration networks: understanding city (dis)involvement and “passivism”</t>
  </si>
  <si>
    <t>"EVERYTHING IS CONNECTED": NETWORKED CONSPIRITUALITY IN NEW AGE MEDIA</t>
  </si>
  <si>
    <t>Modeling the geospatial dynamics of residential segregation in three Canadian cities: An agentâ€based approach</t>
  </si>
  <si>
    <t>Extra! Extra! The Importance of Victim–Offender Relationship in Homicide Newsworthiness</t>
  </si>
  <si>
    <t>Ego-Aware Graph Neural Network</t>
  </si>
  <si>
    <t>A gender comparative analysis of post-traumatic stress disorder among a community-based cohort of people who use drugs in Vancouver, Canada</t>
  </si>
  <si>
    <t>The intangible benefits of criminal mentorship</t>
  </si>
  <si>
    <t>Protocol for a cluster randomised trial evaluating a multifaceted intervention starting preconceptionally-Early Interventions to Support Trajectories for Healthy Life in India (EINSTEIN): A Healthy Life Trajectories Initiative (HeLTI) Study</t>
  </si>
  <si>
    <t>Emergent patterns in global health diplomacy: a network analysis of the resolutions adopted by the World Health Assembly from 1948 to 2022</t>
  </si>
  <si>
    <t>Governing the belongings of the precariously housed: A critical legal geography</t>
  </si>
  <si>
    <t>Dangerous Times? A Routine Activities Examination of the Temporal Patterns of Sexual Offenses over Time</t>
  </si>
  <si>
    <t>Food Insecurity: A Barrier to Reproductive Justice Globally</t>
  </si>
  <si>
    <t>Critical constructivism, postphenomenology, and the politics of technology</t>
  </si>
  <si>
    <t>Territorial consolidation after rebel victory: when does civil war recur?</t>
  </si>
  <si>
    <t>Managerial risk aversion and the structure of executive compensation</t>
  </si>
  <si>
    <t>Fact signalling and fact nostalgia in the data-driven society</t>
  </si>
  <si>
    <t>Children’s digital play as collective family resilience in the face of the pandemic</t>
  </si>
  <si>
    <t>Situating the Nonprofit Industrial Complex</t>
  </si>
  <si>
    <t>Sustainability planning, implementation, and assessment in cities: how can productivity enhance these processes?</t>
  </si>
  <si>
    <t>The Canadian governmentâ€™s response to foreign disinformation: Rhetoric, stated policy intentions, and practices</t>
  </si>
  <si>
    <t>Pain, opioid use, depressive symptoms, and mortality in adults living in precarious housing or homelessness: a longitudinal prospective study</t>
  </si>
  <si>
    <t>Urgent issues and prospects in correctional rehabilitation practice and research</t>
  </si>
  <si>
    <t>(Dis)connected by design? Using participatory citizen science to uncover environmental determinants of social connectedness for youth in under-resourced neighbourhoods</t>
  </si>
  <si>
    <t>The routledge handbook of policy tools</t>
  </si>
  <si>
    <t>The neglect of equity and inclusion in open science policies of Europe and the Americas</t>
  </si>
  <si>
    <t>Initiation of opioid agonist treatment and subsequent substance use and other patterns among adolescents and young adults in Vancouver, Canada</t>
  </si>
  <si>
    <t>Seeing pre-screened, regular clients associated with lower odds of workplace sexual violence and condom refusal amidst sex work criminalization: findings of a community-based cohort of sex workers in Metro Vancouver, Canada (2010-2019)</t>
  </si>
  <si>
    <t>A Vital Frontier</t>
  </si>
  <si>
    <t>Gendered and differential effects of the COVID-19 pandemic on paid and unpaid work in Nigeria</t>
  </si>
  <si>
    <t>Disinformation under a networked authoritarian state: Saudi trolls' credibility attacks against Jamal Khashoggi</t>
  </si>
  <si>
    <t>Visiting, attending and receiving: Making kin with local woods</t>
  </si>
  <si>
    <t>â€œI'm positively positiveâ€: Beyond individual responsibility for resilience amongst older adults living with HIV</t>
  </si>
  <si>
    <t>Drawing conclusions: Instructing witnesses to draw what happened to them</t>
  </si>
  <si>
    <t>Re-righting renewable energy research with Indigenous communities in Canada</t>
  </si>
  <si>
    <t>Regulating the wild west? Management consulting reform in Canadian government</t>
  </si>
  <si>
    <t>Predictors of housing instability and stability among Housing First participants: A 24-month study</t>
  </si>
  <si>
    <t>Prioritizing a research agenda on built environments and physical activity: a twin panel Delphi consensus process with researchers and knowledge users</t>
  </si>
  <si>
    <t>The impact of COVID-19 on the debate on open science: a qualitative analysis of published materials from the period of the pandemic</t>
  </si>
  <si>
    <t>Exerting Sovereignty Through Relational Self-determination: A Case Study of Mineral Development In Stkâ€™emlupsemc te SecwÃ©pemc Territory</t>
  </si>
  <si>
    <t>Supporting intersecting cultural needs of gender and age by increasing cultural safety and humility for Housing First initiatives</t>
  </si>
  <si>
    <t>Characterization of Bodily Pain and Use of Both Prescription and Non-Prescription Opioids in Tenants of Precarious Housing</t>
  </si>
  <si>
    <t>A Two-Eyed Seeing Teaching and Learning Framework for Science Education</t>
  </si>
  <si>
    <t>Cultural generativity in perspective: motivations of older Jewish volunteers</t>
  </si>
  <si>
    <t>Where is the EU–UK relationship heading? A conjoint survey experiment of Brexit trade-offs</t>
  </si>
  <si>
    <t>Tobacco smoking and HIV-related immunologic and virologic response among individuals of the Canadian HIV Observational Cohort (CANOC)</t>
  </si>
  <si>
    <t>Methadone Maintenance Treatment Discontinuation Among Young People who use Opioids in Vancouver, Canada; Cessation du traitement d’entretien à la méthadone chez les jeunes gens qui utilisent des opioïdes à Vancouver, Canada</t>
  </si>
  <si>
    <t>Corpse identification in mass disasters and other violence: the ethical challenges of a humanitarian approach</t>
  </si>
  <si>
    <t>‘We don’t have the right to get sick’: A qualitative study of gaps in public health insurance among Im/migrant women in British Columbia, Canada</t>
  </si>
  <si>
    <t>Prevalence and Social-Structural Correlates of Gender-Based Violence Against Women Living With HIV in Metro Vancouver, Canada</t>
  </si>
  <si>
    <t>'Female' sport and testosterone panic</t>
  </si>
  <si>
    <t>Unveiling assumptions through interdisciplinary scrutiny: Observations from the German Priority Program on Climate Engineering (SPP 1689)</t>
  </si>
  <si>
    <t>Designing social policies: Design spaces andcapacity challenges</t>
  </si>
  <si>
    <t>Public Camp Orders and the Power of Microstructures in the Thai-Burmese Borderland</t>
  </si>
  <si>
    <t>Social and biological transgenerational underpinnings of adolescent pregnancy</t>
  </si>
  <si>
    <t>Participatory action research: An exploration from a Freirean perspective of research involving people with dementia</t>
  </si>
  <si>
    <t>Reproductive coercion and abuse in Australia: What do we need to know?</t>
  </si>
  <si>
    <t>Hospital-to-Shelter/Housing Interventions for Persons Experiencing Homelessness</t>
  </si>
  <si>
    <t>Dietary Intake and the Neighbourhood Environment in the BC Generations Project</t>
  </si>
  <si>
    <t>Advancing the Concept of Resilience for Older Adults Who Are Experiencing Homelessness</t>
  </si>
  <si>
    <t>Psychometric properties and correlates of the Beck Depression Inventory in a community-based and homeless or precariously housed sample</t>
  </si>
  <si>
    <t>Governing international regime complexes through multi-level governance mechanisms: lessons from water, forestry and migration policy</t>
  </si>
  <si>
    <t>The hollow core: breakdowns in global governance of CSR</t>
  </si>
  <si>
    <t>Assisted injection within supervised injection services: Uptake and client characteristics among people who require help injecting in a Canadian setting</t>
  </si>
  <si>
    <t>Explaining women's political underrepresentation in democracies with high levels of corruption</t>
  </si>
  <si>
    <t>An Ocean Declaration for equitable governance to guide observation</t>
  </si>
  <si>
    <t>Examining Risk Factors and Protective Resources as Predictors of Recovery Among Youth With Mental Illness and Lived Experience of Homelessness</t>
  </si>
  <si>
    <t>The global relevance of locally grounded ethnobiology</t>
  </si>
  <si>
    <t>Multivariable modelling of factors associated with criminal convictions among people experiencing homelessness and serious mental illness: a multi-year study</t>
  </si>
  <si>
    <t>Artificial intelligence and the politics of avoidance in global health</t>
  </si>
  <si>
    <t>The Governance of Core Competencies for Public Health: A Rapid Review of the Literature</t>
  </si>
  <si>
    <t>Assessing the ‘forgotten fundamental’ in policy advisory systems research: Policy shops and the role(s) of core policy professionals</t>
  </si>
  <si>
    <t>Special issue: city network activism and the governance of migration</t>
  </si>
  <si>
    <t>Mapping flows of blue economy finance: ambitious narratives, opaque actions, and social equity risks</t>
  </si>
  <si>
    <t>Rethinking global governance to address zoonotic disease risks: Connecting the dots</t>
  </si>
  <si>
    <t>Evaluating British Columbiaâ€™s Municipally Owned Community Forest Corporations as Governance Structures</t>
  </si>
  <si>
    <t>Gugwilx'ya'ansk and goats: Indigenous perspectives on governance, stewardship and relationality in mountain goat (mati) hunting in Gitga'at territory</t>
  </si>
  <si>
    <t>Designing Public Policies: Principles and Instruments, Third Edition</t>
  </si>
  <si>
    <t>National or sub-national parties: Does party geographic scope matter?</t>
  </si>
  <si>
    <t>The Immigrationâ€“Crime Relationship: Evidence Across and Within Vancouver Census Tracts 2003â€“16</t>
  </si>
  <si>
    <t>Procurement and Politics: Strategies of Defence Acquisition in Canada and Australia</t>
  </si>
  <si>
    <t>Facilitators and barriers to the implementation of community-based transportation services for older adults: Evidence from six case studies</t>
  </si>
  <si>
    <t>The publication facts label: A public and professional guide for research articles</t>
  </si>
  <si>
    <t>Politics: The Problem of Definition</t>
  </si>
  <si>
    <t>“Guided by Science and Evidence”? The Politics of Border Management in Canada's Response to the COVID-19 Pandemic</t>
  </si>
  <si>
    <t>Place-Based Environmental Philanthropy: The Role of Community-Based Organizations in the Skeena Watershed</t>
  </si>
  <si>
    <t>Characterizing Traumatic Brain Injury and Its Association with Losing Stable Housing in a Community-based Sample; Caractérisation d’une lésion cérébrale traumatique et de son association avec la perte d’un logement stable dans un échantillon communautaire</t>
  </si>
  <si>
    <t>Eastern Africaâ€™s tobacco value chain: links with China</t>
  </si>
  <si>
    <t>Customer satisfaction and loyalty with corporate multi-brand websites in an era of social media and misinformation</t>
  </si>
  <si>
    <t>Moral Panic and Electric Micromobilities: Seeking Space for Mobility Justice</t>
  </si>
  <si>
    <t>Greening the cloud: Oligopoly-driven institutional transformations of the US electricity grid for commercial and industrial power purchases</t>
  </si>
  <si>
    <t>Land use planning and the making of a ‘properly propertied’ Vancouver</t>
  </si>
  <si>
    <t>Comparing Ambiguities: Municipalities, Francophone Minority Communities and Immigration in Canada</t>
  </si>
  <si>
    <t>Cooperative Rule: Community Development in Britain's Late Empire</t>
  </si>
  <si>
    <t>A paradox of need: Gaps in access to dental care among people who use drugs in Canada's publicly funded healthcare system</t>
  </si>
  <si>
    <t>Factors Associated With the Use of Supervised Consumption Facilities Among Women Who Inject Drugs in a Canadian Setting</t>
  </si>
  <si>
    <t>Navigating Colonial Space: A Case Study of an Indigenous Student-Led Decolonial Movement in Canadian Higher Education</t>
  </si>
  <si>
    <t>The Handbook of Media Education Research</t>
  </si>
  <si>
    <t>Waking up from Delusion: Mindfulness (Sati) and Right Mind-and-Heart (Bodhicitta) for Educating Activists</t>
  </si>
  <si>
    <t>The Anthropocene Subject and Emancipation: The Challenge of â€œEmancipatoryâ€ Pedagogy in an Era of Climate Crisis</t>
  </si>
  <si>
    <t>Generalist CEOs and conditional accounting conservatism</t>
  </si>
  <si>
    <t>Diversity, challenges, and opportunities of Fishery Improvement Projects in the Latin America and the Caribbean region</t>
  </si>
  <si>
    <t>The paradoxical transparency of opaque machine learning</t>
  </si>
  <si>
    <t>Robo-Advice (RA): implications for the sociology of the professions</t>
  </si>
  <si>
    <t>A comprehensive policy framework for unlocking the potential of water hyacinth in Ethiopia's circular bioeconomy</t>
  </si>
  <si>
    <t>How Google Autocomplete Algorithms about Conspiracy Theorists Mislead the Public</t>
  </si>
  <si>
    <t>Association of homelessness and psychiatric hospital readmission—a retrospective cohort study 2016–2020</t>
  </si>
  <si>
    <t>The Propagation of Misinformation in Social Media</t>
  </si>
  <si>
    <t>Experiences of violence during the COVID-19 pandemic among people who use drugs in a Canadian setting: a gender-based cross-sectional study</t>
  </si>
  <si>
    <t>Overview and Evidence-Based Recommendations to Address Health and Human Rights Inequities Faced by Sex Workers</t>
  </si>
  <si>
    <t>Media Governance</t>
  </si>
  <si>
    <t>Does Social Capital Arise from Enterprise or Public Social Media Use? A Model of Social Media Antecedents and Consequences</t>
  </si>
  <si>
    <t>Deploying Artificial Intelligence to Combat Covid-19 Misinformation on Social Media: Technological and Ethical Considerations</t>
  </si>
  <si>
    <t>Relationship and Gender Equity Measurement Among Gender-Inclusive Young Women and Non-Binary Youth in British Columbia (RE-IMAGYN BC): Planning a Youth-Led, Community-Based, Qualitative Research Study</t>
  </si>
  <si>
    <t>The new normal: governance, disruption and the post-truth era</t>
  </si>
  <si>
    <t>Bicycle streetscapes: a data driven approach to mapping streets based on bicycle usage</t>
  </si>
  <si>
    <t>The impact of recent homelessness on the provision of injection drug use initiation assistance among persons who inject drugs in Tijuana, Mexico and Vancouver, Canada</t>
  </si>
  <si>
    <t>What public health interventions do people in Canada prefer to fund? A discrete choice experiment</t>
  </si>
  <si>
    <t>Pika: Empowering Non-Programmers to Author Executable Governance Policies in Online Communities</t>
  </si>
  <si>
    <t>Parentâ€“child relationship outcomes in a randomized controlled trial of housing first for indigenous and non-Indigenous parents experiencing homelessness, mental illness, and separation from their children.</t>
  </si>
  <si>
    <t>Logistics and Urban Planning: A Review of Literature</t>
  </si>
  <si>
    <t>Community-University Partnerships for Local Impact: Advancing Sustainability Through Place-Based Education</t>
  </si>
  <si>
    <t>Applications of Image-Based Computer Vision for Remote Surveillance of Slope Instability</t>
  </si>
  <si>
    <t>Connectedness, feeling At home, and joyful Play (CAP): A place-based wellness model for cognitive health promotion in the community by the community</t>
  </si>
  <si>
    <t>Teaching Science as a Process, Not a Set of Facts: A Case‑Study of a First‑Year Science Seminar</t>
  </si>
  <si>
    <t>(Inter)cultural production as public pedagogy: weaving art, interculturality and civic learning in a community festival context</t>
  </si>
  <si>
    <t>#WuhanDiary and #WuhanLockdown: Gendered posting patterns and behaviours on Weibo during the COVID-19 pandemic</t>
  </si>
  <si>
    <t>Social media attacks against female Canadian journalists</t>
  </si>
  <si>
    <t>New Dimensions of Global Feminist Influence: Tracking Feminist Mobilization Worldwide, 1975-2015</t>
  </si>
  <si>
    <t>Acceptability of built environment interventions to support active travel in 17 Canadian metropolitan areas: findings from the THEPA study</t>
  </si>
  <si>
    <t>Towards Noise-adaptive, Problem-adaptive (Accelerated) SGD</t>
  </si>
  <si>
    <t>"We can do our own thing here on Haida Gwaii": The Haida Nation's response to COVID-19</t>
  </si>
  <si>
    <t>MAKING PROPERTY OUTLAWS: Law and Relegation</t>
  </si>
  <si>
    <t>Studentsâ€™ Views on the Nature of Science in an Interdisciplinary First-Year Science Program: Content Analysis of a Weekly Reflection Activity</t>
  </si>
  <si>
    <t>Mapping Workplace Neighborhood Mobility Among Sex Workers in an Urban Canadian Setting: Results of a Community-Based Spatial Epidemiological Study From 2010-2016</t>
  </si>
  <si>
    <t>Treading Waters: The Many Socio-ethical Challenges of Science and Health Journalism</t>
  </si>
  <si>
    <t>Hepatitis e virus in people who use crack-cocaine: A cross-sectional study in a remote region of Northern Brazil</t>
  </si>
  <si>
    <t>The Prevalence of Big Data Analytics in Public Policy: Is There a Research-Pedagogy Gap?</t>
  </si>
  <si>
    <t>Towards a conceptualization of secrecy in marketing</t>
  </si>
  <si>
    <t>Should Canada adopt managed access agreements in Canada for expensive drugs?</t>
  </si>
  <si>
    <t>Structural barriers to condom access in a community-based cohort of sex workers in Vancouver, Canada: influence of policing, violence and end-demand criminalisation</t>
  </si>
  <si>
    <t>Are Real-World Prosociality Programs Associated with Greater Psychological Well-Being in Primary School-Aged Children?</t>
  </si>
  <si>
    <t>Elder People and Personal Data: New Challenges in Health Platformization</t>
  </si>
  <si>
    <t>Preparing Our Home by reclaiming resilience: Lessons from Lil’wat Nation, Siksika Nation and Mohawk Nation at Akwesasne, Canada</t>
  </si>
  <si>
    <t>Linking Sustainability and Happiness</t>
  </si>
  <si>
    <t>Tweeting power: The communication of leadership roles on prime ministers’ twitter</t>
  </si>
  <si>
    <t>Urban rats are the â€˜fall-guyâ€™: Resident motivations for municipal rat complaints</t>
  </si>
  <si>
    <t>Commercial Sex as Valuable? Policy Implications of Sex Workers’ Perspectives on the Contributions of Their Labor</t>
  </si>
  <si>
    <t>A review of caveats and future considerations of research on responsible AI across disciplines</t>
  </si>
  <si>
    <t>Mini-Public Replication: Emotions and Deliberation in the Citizens' Initiative Review Redux</t>
  </si>
  <si>
    <t>Experiences of Gender-Based Stigma and Health Care-Related Outcomes in the African Region: A Scoping Review</t>
  </si>
  <si>
    <t>Introduction: Perspectives of Resilience and Aging</t>
  </si>
  <si>
    <t>Rabies in China: The Role of Rabies Ecologies and Pet Activism</t>
  </si>
  <si>
    <t>Differs in Dignity: Shame, Privacy, and the Law</t>
  </si>
  <si>
    <t>The Trajectory of Targets and Critical Lures in the Deese/Roedigerâ€“McDermott Paradigm: A Systematic Review</t>
  </si>
  <si>
    <t>The Value Relevance of a Firm's Carbon Risk Profile</t>
  </si>
  <si>
    <t>Knowledge of hepatitis C and awareness of reinfection risk among people who successfully completed direct acting antiviral therapy</t>
  </si>
  <si>
    <t>Critical Constructivism: An Exposition and Defense</t>
  </si>
  <si>
    <t>Information Trolls vs Democracy: An examination of disinformation content delivered during the 2019 Canadian Federal Election</t>
  </si>
  <si>
    <t>Exploring the relationship between neighbourhood quality (NQ) and housing stability among formerly homeless individuals with mental illness in housing first</t>
  </si>
  <si>
    <t>Modeling Public Policy: Influences on Terrorism and Public Opinion</t>
  </si>
  <si>
    <t>Rasch analysis of the beck depression inventory in a homeless and precariously housed sample</t>
  </si>
  <si>
    <t>The impact of self-government, comprehensive land claims, and opt-in arrangements on income inequality in indigenous communities in Canada</t>
  </si>
  <si>
    <t>Negotiating connections, confinements, and neighbourhood places: Older adultsâ€™ everyday well-being during the COVID-19 pandemic and beyond</t>
  </si>
  <si>
    <t>Engaging Citizens in Data Governance in Net Zero Precincts</t>
  </si>
  <si>
    <t>Crowdfunding, stem cell interventions and autism spectrum disorder: comparing campaigns related to an international “stem cell clinic” and US academic medical center</t>
  </si>
  <si>
    <t>Governance of dependency relationships in mandated networks</t>
  </si>
  <si>
    <t>New Zealand's failed cannabis legalization referendum – implications for cannabis policy reform</t>
  </si>
  <si>
    <t>Real-World Evidence of Sofosbuvir/Velpatasvir as an Effective and Simple Hepatitis C Virus Treatment and Elimination Tool in Homeless Populations</t>
  </si>
  <si>
    <t>Towards a situated spatial epidemiology of violence: a placially-informed geospatial analysis of homicide in alagoas, brazil</t>
  </si>
  <si>
    <t>Differential age-associated brain atrophy and white matter changes among homeless and precariously housed individuals compared with the general population</t>
  </si>
  <si>
    <t>Framing Land Governance Issues in Indigenous and Settler Media within Canada</t>
  </si>
  <si>
    <t>New Zealand's 'Cannabis Legalisation and Regulation Bill': An evidence-based assessment and critique of essential regulatory components towards policy outcomes</t>
  </si>
  <si>
    <t>Bridging Data Governance and Socio-Technical Transitions to Understand Sustainable Smart Cities</t>
  </si>
  <si>
    <t>Differential sensitivity of intraindividual variability dispersion and global cognition in the prediction of functional outcomes and mortality in precariously housed and homeless adults</t>
  </si>
  <si>
    <t>Effect of government removal of salmon farms on sea lice infection of juvenile wild salmon in the Discovery Islands</t>
  </si>
  <si>
    <t>Bringing the imperial back in: Reconsidering governance in the late Ottoman Empire, 1839â€“1923 (Part II)</t>
  </si>
  <si>
    <t>It’s all about connection: Determinants of social support and the influence on HIV treatment interruptions among people living with HIV in British Columbia, Canada</t>
  </si>
  <si>
    <t>â€œJust clearly the right thing to doâ€: perspectives of correctional services leaders on moving governance of health-care in custody</t>
  </si>
  <si>
    <t>Governance of news aggregatorsâ€™ practices across five emblematic cases: Policy regimes between normative acceptance and resistance</t>
  </si>
  <si>
    <t>Individual physical activity, neighbourhood active living environment and mental illness hospitalisation among adults with cardiometabolic disease: a Canadian population-based cohort analysis</t>
  </si>
  <si>
    <t>Journalistsâ€™ Views and Management of Dark Participation</t>
  </si>
  <si>
    <t>A Social Cure for COVID-19: Importance of Networks in Combatting Socio-Economic and Emotional Health Challenges in Informal Settlements in Dhaka, Bangladesh</t>
  </si>
  <si>
    <t>Criminal Code reform of HIV non-disclosure is urgently needed: Social science perspectives on the harms of HIV criminalization in Canada</t>
  </si>
  <si>
    <t>Learning to innovate: Students and teachers constructing collective innovation practices in a primary school’s makerspace</t>
  </si>
  <si>
    <t>Settlerâ€colonialism's antiâ€social contract &lt;i&gt;The Wiley Invited Lecture at the 2019 annual meeting of the Canadian Association of Geographers&lt;/i&gt;</t>
  </si>
  <si>
    <t>Doing Research Ethically</t>
  </si>
  <si>
    <t>Struggling for the right to struggle: Cultural workersâ€™ labour rights and unions</t>
  </si>
  <si>
    <t>Tiktoking COVID-19 with frontline workers</t>
  </si>
  <si>
    <t>Connect 2 Care, a Novel Community Outreach Program for Vulnerably Housed Patients With High Acute Care Use: A Mixed-Methods Study Protocol</t>
  </si>
  <si>
    <t>Methadone Dose, Cannabis Use, and Treatment Retention: Findings From a Community-based Sample of People Who Use Unregulated Drugs</t>
  </si>
  <si>
    <t>Perspectives of municipal professionals on adopting a dementia-friendly and inclusive approach in urban planning and design in British Columbia, Canada</t>
  </si>
  <si>
    <t>Exploring the Liability of Origin: Lessons from Smithfield Foods and Meat Processing in the US During COVID-19</t>
  </si>
  <si>
    <t>Assessing policy coherence for developing a blue economy: a case study in the Republic of Panama</t>
  </si>
  <si>
    <t>Component Processes of Decision Making in a Community Sample of Precariously Housed Persons: Associations With Learning and Memory, and Health-Risk Behaviors</t>
  </si>
  <si>
    <t>“Bring the Hoses to Where the Fire Is!”: Differential Impacts of Marginalization and Socioeconomic Status on COVID-19 Case Counts and Healthcare Costs</t>
  </si>
  <si>
    <t>Intercepted journeys: Associations between migration and mobility experiences and depressive symptoms among substance using migrants at the Mexico-Guatemala border</t>
  </si>
  <si>
    <t>Listed public–private enterprises: stock market information, agency costs and productive efficiency outcomes</t>
  </si>
  <si>
    <t>Exploring Primary Healthcare Experiences and Interest in Mobile Technology Engagement Amongst an Urban Population Experiencing Barriers to Care</t>
  </si>
  <si>
    <t>Traumatic brain injury in precariously housed persons: Incidence and risks</t>
  </si>
  <si>
    <t>E-micromobility, Cycling, and â€˜Goodâ€™ Active Travel</t>
  </si>
  <si>
    <t>The Canadian government’s response to foreign disinformation: Rhetoric, stated policy intentions, and practices</t>
  </si>
  <si>
    <t>Opposing trends in fisheries portfolio diversity at harvester and community scales signal opportunities for adaptation</t>
  </si>
  <si>
    <t>Evangelical Christianity as Infrastructure in Brazil's Penal System</t>
  </si>
  <si>
    <t>Overall and Gender-specific Associations between Dimensions of Adverse Childhood Experiences and Mental Health Outcomes among Homeless Adults: Associations Générales et Sexospécifiques Entre les Dimensions des Expériences Défavorables de L’enfance et les Résultats de Santé Mentale Chez les Adultes Sans Abri</t>
  </si>
  <si>
    <t>REALITIES AND DISCOURSES ON SOUTH AFRICAN XENOPHOBIA</t>
  </si>
  <si>
    <t>Ecology and colour in 1m2: a contemplative, place-based study</t>
  </si>
  <si>
    <t>Urban Rats ( &lt;i&gt;Rattus norvegicus&lt;/i&gt; ) through a One Health Lens: Social and Ecological Factors Promote Opportunities for Urban Leptospirosis in Rats, Dogs, and People</t>
  </si>
  <si>
    <t>Plucking Heartstrings: &lt;i&gt;Guqin&lt;/i&gt; , Aesthetic Attunement, and TCM Music Therapy</t>
  </si>
  <si>
    <t>Modeling the geospatial dynamics of residential segregation in three Canadian cities: An agent-based approach</t>
  </si>
  <si>
    <t>The Rise of the Therapeutic in Contemporary China</t>
  </si>
  <si>
    <t>Investigating politics through artistic practices: Affect resonance of creative publics</t>
  </si>
  <si>
    <t>How Leadership Influences Urban Greenspace Provision: The Case of Surrey, Canada</t>
  </si>
  <si>
    <t>Collaborating for transformation: applying the Co-Laboratorio approach to bridge research, pedagogy and practice</t>
  </si>
  <si>
    <t>The Faure report, Sylvia Wynter and the undoing of the Man of lifelong learning</t>
  </si>
  <si>
    <t>Modes of coordination for health technology adoption: Health Technology Assessment agencies and Group Procurement Organizations in a polycentric regulatory regime</t>
  </si>
  <si>
    <t>Research transparency: Less about rigor and more about responsibility</t>
  </si>
  <si>
    <t>Overcoming adversity: a grounded theory of health management among middle-aged and older gay men</t>
  </si>
  <si>
    <t>Developing State Capacity: The Missing Variable for Corporate Social Responsibility?</t>
  </si>
  <si>
    <t>Challenges to the veracity and the international comparability of Russian homicide statistics</t>
  </si>
  <si>
    <t>To tent and protect: Homeless encampments as â€œprotective facilitiesâ€</t>
  </si>
  <si>
    <t>Guarding informationâ€™s Other: Theorising beyond information and communications technologies for disinformation</t>
  </si>
  <si>
    <t>In the eye of the powerholder: examining the relationship between uniform and accoutrement combinations and police self-legitimacy</t>
  </si>
  <si>
    <t>Dimensions of Transnational Feminism: Autonomous Organizing, Multilateralism and Agenda-Setting in Global Civil Society</t>
  </si>
  <si>
    <t>Using serial position effects to investigate memory dysfunction in homeless and precariously housed persons</t>
  </si>
  <si>
    <t>Assessing the built environment through photographs and its association with obesity in 21 countries: the PURE Study</t>
  </si>
  <si>
    <t>Unpacking Mental Health: Intersectionality-informed Approaches to Upholding Human Rights and Realizing Social Justice (Guest Editors' Introduction)</t>
  </si>
  <si>
    <t>Cycling towards complete communities: Estimating access to destinations via low traffic stress cycling</t>
  </si>
  <si>
    <t>Relationship between drug-induced movement disorders and psychosis in adults living in precarious housing or homelessness</t>
  </si>
  <si>
    <t>Handbook of Democratic Innovation and Governance</t>
  </si>
  <si>
    <t>The Remapping of Forest Governance: From Shareholder to Stakeholder</t>
  </si>
  <si>
    <t>Anchoring into Space: A Reflexive Approach for Attending to Trauma When Engaging in Research with Older Persons with Experiences of Homelessness</t>
  </si>
  <si>
    <t>A novel application of interrupted time series analysis to identify the impact of a primary health care reform on intersectional inequities in avoidable hospitalizations in the adult Swedish population</t>
  </si>
  <si>
    <t>Covid-19 in Asia: Governance And The Politics of the Pandemic</t>
  </si>
  <si>
    <t>Housing Vulnerability Reconsidered: Applications and Implications for Housing Research, Policy and Practice</t>
  </si>
  <si>
    <t>Design, control, predict: logistical governance in the smart city</t>
  </si>
  <si>
    <t>Media Governance as a Utopian Concept in a Local Mediascape: Challenges for Conceptual Development in South Korea</t>
  </si>
  <si>
    <t>'Rising Number of Homeless is the Legacy of Tory Failure': Discoursal Changes and Transitivity Patterns in the Representation of Homelessness in The Guardian and Daily Mail from 2000 to 2018</t>
  </si>
  <si>
    <t>Critical Reflections on the Governance of Women and Gender Expansive Athletes: An Intersectional Interdisciplinary Dialogue</t>
  </si>
  <si>
    <t>Emergent patterns in global health diplomacy: A network analysis of the resolutions adopted by the World Health Assembly from 1948 to 2022</t>
  </si>
  <si>
    <t>Bringing the imperial back in: Reconsidering governance in the late Ottoman Empire, 1839â€“1923 (Part I)</t>
  </si>
  <si>
    <t>Evaluation of the gap in delivery of opioid agonist therapy among individuals with opioid-related health problems: a population-based retrospective cohort study</t>
  </si>
  <si>
    <t>The political transfer problem: How cross-border financial windfalls affect democracy and civil war</t>
  </si>
  <si>
    <t>Letters from a dying college: How the climate crisis demands a wilder pedagogy and wilder policies</t>
  </si>
  <si>
    <t>Regulatory design and interactions in workerâ€driven social responsibility initiatives: The Dindigul Agreement</t>
  </si>
  <si>
    <t>Sociometric network analysis in illicit drugs research: A scoping review</t>
  </si>
  <si>
    <t>Social trust and COVID-19 mortality in the United States: lessons in planning for future pandemics using data from the general social survey</t>
  </si>
  <si>
    <t>Cultural generativity in perspective: Motivations of older Jewish volunteers</t>
  </si>
  <si>
    <t>Identifying Unmarked Crosswalks at Bus Stops in Vancouver, Canada</t>
  </si>
  <si>
    <t>Regionalism, Multilateralism, and Sovereign Debt: Observations from a Latin Americanist</t>
  </si>
  <si>
    <t>Vaccine related crowdfunding on a â€˜Freedom Fundraisingâ€™ platform</t>
  </si>
  <si>
    <t>The Impact of Viewing Social Media Images on Eyewitness Identification</t>
  </si>
  <si>
    <t>Off-cycle</t>
  </si>
  <si>
    <t>MISINFORMATION DETECTION IN NEWS TEXT: Automatic methods and data limitations</t>
  </si>
  <si>
    <t>Structural racism is a driver of fragmented care and acute care use among people with rheumatic conditions</t>
  </si>
  <si>
    <t>Living labs as transformative incrementalism: lessons learned on the role of a university living lab in mobilising just sustainabilities on campus</t>
  </si>
  <si>
    <t>Factors associated with patient perceived suboptimal dosing of in-hospital opioid agonist therapy among people who use illicit drugs in Vancouver, Canada</t>
  </si>
  <si>
    <t>“I'm positively positive”: Beyond individual responsibility for resilience amongst older adults living with HIV</t>
  </si>
  <si>
    <t>The smart camp as classroom: Control, education, and agency in Muslim internment in Northwest China</t>
  </si>
  <si>
    <t>The Immigration-Crime Relationship: Evidence Across and Within Vancouver Census Tracts 2003-16</t>
  </si>
  <si>
    <t>Stronger Together: Country-of-Origin Agglomeration and MNE Location Choice in an Adverse Institutional Environment</t>
  </si>
  <si>
    <t>Crystal methamphetamine use subgroups and associated addiction care access and overdose risk in a Canadian urban setting</t>
  </si>
  <si>
    <t>Stark Decline in Journalistsâ€™ Use of Preprints Postpandemic</t>
  </si>
  <si>
    <t>Place-Based Environmental Philanthropy: The Role of Community-Based Organizations in the Skeena Watershed; La philanthropie territoriale environnementale : le rôle d’organisations communautaires dans le bassin-versant de la Skeena</t>
  </si>
  <si>
    <t>COVID-19 vaccination among young people who use drugs in Vancouver, Canada</t>
  </si>
  <si>
    <t>Sustainable Community Planning and Development</t>
  </si>
  <si>
    <t>Federal judge ideology, securities class action litigation, and stock price crash risk</t>
  </si>
  <si>
    <t>Political Economy Perspectives in Trade before and beyond Civilizations</t>
  </si>
  <si>
    <t>Abusive Metajournalistic Discourse Towards Journalists on Social Media</t>
  </si>
  <si>
    <t>The Trajectory of Targets and Critical Lures in the Deese/Roediger–McDermott Paradigm: A Systematic Review</t>
  </si>
  <si>
    <t>Divergent notions of â€œqualityâ€ in healthcare policy implementation: a framing perspective</t>
  </si>
  <si>
    <t>Summary of Keynote Speeches from the 2024 Voice AI Symposium, presented by the Bridge2AI-Voice Consortium</t>
  </si>
  <si>
    <t>Editorial overview: Six messages of climate psychology</t>
  </si>
  <si>
    <t>Experiences of HIV among global Indigenous populations through the lens of the UN Declaration on the Rights of Indigenous Peoples</t>
  </si>
  <si>
    <t>Policy science beyond self-congratulatory virtue signalling: Matching supply and demand in the scholarship, pedagogy and purpose of the policy enterprise</t>
  </si>
  <si>
    <t>Violent orders and coup-proofing: A new typology of wars in Africa</t>
  </si>
  <si>
    <t>Indigenous and non-Indigenous parents separated from their children and experiencing homelessness and mental illness in Canada</t>
  </si>
  <si>
    <t>Russiaâ€™s Space Security Policy</t>
  </si>
  <si>
    <t>The Political Economy of Sugar-Sweetened Beverages Taxation in Latin America: Lessons from Mexico, Chile and Colombia</t>
  </si>
  <si>
    <t>Eastern Africa’s tobacco value chain: links with China</t>
  </si>
  <si>
    <t>A Family Member or a Professional Manager? The Role of Trust in the Choice of &lt;scp&gt;CEO&lt;/scp&gt; in Family Firms</t>
  </si>
  <si>
    <t>The Common Microfoundations of Attitudes Toward Artificial Intelligence (AI) and Globalization</t>
  </si>
  <si>
    <t>Theories and concepts influencing sustainable community development</t>
  </si>
  <si>
    <t>Hey Neighbour! Understanding a Pilot Project to Build Neighbourliness into Rental Housing</t>
  </si>
  <si>
    <t>How do People Become a Mass?</t>
  </si>
  <si>
    <t>Regulatory design and interactions in worker-driven social responsibility initiatives: The Dindigul Agreement</t>
  </si>
  <si>
    <t>A cross-sectional study to assess health literacy levels among Canadian post-secondary students during the COVID-19 pandemic</t>
  </si>
  <si>
    <t>Client-Centered Policing: A Focus on Positive Community Contacts Within Canada</t>
  </si>
  <si>
    <t>Plastics’ circular economy for the Galápagos Islands? Exploring plastics governance with implications for social and ocean equity in a UNESCO World Heritage Site</t>
  </si>
  <si>
    <t>Taking on the Traditions in Philosophy of Education: A Symposium</t>
  </si>
  <si>
    <t>High-quality integrated reporting based on concentrated versus dispersed ownership</t>
  </si>
  <si>
    <t>Custom Elections and Local Policies: The Case of Canadaâ€™s First Nations</t>
  </si>
  <si>
    <t>Revisiting neoliberalism and new developmentalism: lessons from Turkey and Argentina</t>
  </si>
  <si>
    <t>Thrive Health: a New Venture Connecting Patient Advocacy to Well-Being</t>
  </si>
  <si>
    <t>The Effect of the Security and Exchange Commissionâ€™s Investigations into Corporate Social Responsibility Performance</t>
  </si>
  <si>
    <t>Agents with Principles? Preventing Conflict-Related Sexual Violence with Human Rights Laws and Norms</t>
  </si>
  <si>
    <t>True insights or ticking boxes? Rapid assessment of rightsâ€based management in artisanal fisheries</t>
  </si>
  <si>
    <t>Information disorder: Algorithms and society</t>
  </si>
  <si>
    <t>Rethinking assessment strategies to improve authentic representations of learning: using blogs as a creative assessment alternative to develop professional skills</t>
  </si>
  <si>
    <t>Canadians' opinions towards COVID-19 data-sharing: a national cross-sectional survey</t>
  </si>
  <si>
    <t>Realizing the Promise of Disaggregated Data and Analytics for Social Justice Through Community Engagement and Intersectoral Research Partnerships</t>
  </si>
  <si>
    <t>State feminism, global feminist waves and democratic backsliding: global and cross-national perspectives</t>
  </si>
  <si>
    <t>Global value chains and regimes of urban governance: A comparison of four Canadian gateway cities</t>
  </si>
  <si>
    <t>Journalists’ Views and Management of Dark Participation</t>
  </si>
  <si>
    <t>Aging in the Right Place: A Conceptual Framework for Housing Insecure Older People</t>
  </si>
  <si>
    <t>Examining the Feasibility, Acceptability, and Effectiveness of Remote Training on Community-Based Participatory Research: Single-Arm Pre-Post Pilot Study</t>
  </si>
  <si>
    <t>Experimental Approaches to the Study of Political Participation</t>
  </si>
  <si>
    <t>Dealing With Policy Nexuses Through Policy Integration: Governance Strategies and the Policy Capacities Needed to Meet UN Sustainable Development Goals</t>
  </si>
  <si>
    <t>Invisiblizing Trans Homelessness</t>
  </si>
  <si>
    <t>Collective Capabilities Complete a Neighbourhood</t>
  </si>
  <si>
    <t>The connection between homelessness and dementia</t>
  </si>
  <si>
    <t>Multicultural Integration Policy as an Explanatory Factor of Immigrant Social Belonging: Multilevel Evidence for a Multilevel Construct</t>
  </si>
  <si>
    <t>A class of exponential neighbourhoods for the quadratic travelling salesman problem</t>
  </si>
  <si>
    <t>Uncovering Promising Practices for Supporting Older People Experiencing Homelessness</t>
  </si>
  <si>
    <t>Evaluating Spaces for Older Adults Experiencing Homelessness: Findings From an Environmental Audit</t>
  </si>
  <si>
    <t>The protective association of social cohesion on sex workersâ€™ experiences of violence and access to community support: Impacts of resource sharing, trust and connection among a community-based cohort in Metro Vancouver, Canada (2010â€“2022)</t>
  </si>
  <si>
    <t>Correction: Mahmood et al. Aging in the Right Place for Older Adults Experiencing Housing Insecurity: An Environmental Assessment of Temporary Housing Program. Int. J. Environ. Res. Public Health 2022, 19, 14857</t>
  </si>
  <si>
    <t>Explaining Womenâ€™s Political Underrepresentation in Democracies with High Levels of Corruption</t>
  </si>
  <si>
    <t>#Abolishncr: A qualitative analysis of social media narratives around the insanity defense</t>
  </si>
  <si>
    <t>Is This How Democracy Dies? Democratic Norms and Belief Systems in Mass Publics</t>
  </si>
  <si>
    <t>Traumatic Brain Injury: An Underappreciated Determinant of Health in Individuals Who are Homeless or Precariously Housed</t>
  </si>
  <si>
    <t>Harnessing the power of the community to increase vaccination among homeless populations in inner-city Vancouver</t>
  </si>
  <si>
    <t>Evaluating British Columbia’s Municipally Owned Community Forest Corporations as Governance Structures</t>
  </si>
  <si>
    <t>The relationship between neighbourhood income and youth mental health service use differs by immigration experience: analysis of population-based data in British Columbia, Canada</t>
  </si>
  <si>
    <t>Long-term benefits of providing transitional services to youth aging-out of the child welfare system: Evidence from a cohort of young people who use drugs in Vancouver, Canada</t>
  </si>
  <si>
    <t>Global Pandemic Governance: Prevention, Preparedness and Response to the COVID-19 Pandemic</t>
  </si>
  <si>
    <t>Making space for the human: Rights, the anthropocene and recognition</t>
  </si>
  <si>
    <t>Financing and Funding Approaches for Establishment, Governance and Regulatory Oversight of the Canadian Northern Corridor</t>
  </si>
  <si>
    <t>The Networked Trolling of Critical Journalists and News Organizations in Iraq</t>
  </si>
  <si>
    <t>Urban rats (rattus norvegicus) through a one health lens: Social and ecological factors promote opportunities for urban leptospirosis in rats, dogs and people</t>
  </si>
  <si>
    <t>MULTISTAGE SAMPLING FOR TRANSLATIONAL COMMUNITY RESEARCH: ZOOMING OUT TO HONE IN ON PLACE-BASED HEALTH DISPARITIES</t>
  </si>
  <si>
    <t>Ethics of Shaping Water Futures</t>
  </si>
  <si>
    <t>ADAPTING STAKEHOLDER WALKABILITY/WHEELABILITY AUDIT TOOL IN NEIGHBORHOOD FOR SENSORY AND COGNITIVE DISABILITIES</t>
  </si>
  <si>
    <t>Drought risk and audit pricing: a mixed-methods study</t>
  </si>
  <si>
    <t>THE ROLE OF THE NEIGHBORHOOD-BUILT ENVIRONMENT ON OUTDOOR MOBILITY OF PEOPLE LIVING WITH DEMENTIA</t>
  </si>
  <si>
    <t>Individual socioeconomic status, neighborhood disadvantage, and cognitive aging: A longitudinal analysis of the CLSA</t>
  </si>
  <si>
    <t>A comparative systematic scan of COVID-19 health literacy information sources for Canadian university students</t>
  </si>
  <si>
    <t>Mental Health of Children: The Dire Global Picture of a Core Human Right</t>
  </si>
  <si>
    <t>The Core Competencies for Public Health in Canada: Opportunities and Recommendations for Modernization</t>
  </si>
  <si>
    <t>4F.002â€…Community engagement for a safer future: active transportation</t>
  </si>
  <si>
    <t>Living With Dementia: Flipping Stigma on Its Ear</t>
  </si>
  <si>
    <t>Urban rats are the ‘fall-guy’: Resident motivations for municipal rat complaints</t>
  </si>
  <si>
    <t>Crowdfunding for Complementary and Alternative Cancer Treatments in Tijuana, Mexico: Content Analysis</t>
  </si>
  <si>
    <t>What drives the high-risk spillover of benchmark oil prices into China's LNG market?</t>
  </si>
  <si>
    <t>Sustainable Housing in Practice</t>
  </si>
  <si>
    <t>What Is Informal Social Control? A Concept Consensus Review of Recent Criminological Literature</t>
  </si>
  <si>
    <t>â€œI FEEL LIKE A SOMEBODY AGAINâ€: THE ETHICS OF CARE IN A SHELTER FOR OLDER ADULTS FLEEING ABUSE</t>
  </si>
  <si>
    <t>2020 British Columbia Election Study</t>
  </si>
  <si>
    <t>â€˜Before Education, Good Food, and Health': World Citizenship and Biopolitics in UNESCO's Post-War Literacy Films</t>
  </si>
  <si>
    <t>Cycling Frequency Changes During the COVID-19 Pandemic in Canadaâ€™s Most Populous Urban Regions</t>
  </si>
  <si>
    <t>Online Hate on Social Media</t>
  </si>
  <si>
    <t>Weight bias and identity characteristics among students at a public university in Southern Brazil</t>
  </si>
  <si>
    <t>Co-creating obesity prevention policies with youth: Policy ideas generated through the CO-CREATE project</t>
  </si>
  <si>
    <t>What Does It Mean to â€œMisuseâ€ Research Data?</t>
  </si>
  <si>
    <t>Abuse of Marginalized Older Adults During COVID-19: Proxy Findings from the Canadian Longitudinal Study on Aging</t>
  </si>
  <si>
    <t>Field Feasibility and Acceptability Testing of Action-Based Psychosocial Reconciliation Approach in a Post-Genocide Rural Community in Rwanda</t>
  </si>
  <si>
    <t>The Sustainable Housing Challenge</t>
  </si>
  <si>
    <t>When the Archaeologists Leave Legacies and Services of the Historical Ecology of the Galápagos Islands Project</t>
  </si>
  <si>
    <t>Conservation: Goldilocks Nations for Restoring Reef Sharks</t>
  </si>
  <si>
    <t>Reflection on Religionâ€™s Role in Society: Assessing Religious Function</t>
  </si>
  <si>
    <t>Interdisciplinary trainee networks to promote research on aging: Facilitators, barriers, and next steps</t>
  </si>
  <si>
    <t>A user-led audit of the walkability and wheelability of Quebec Cityâ€™s neighborhoods by mobility assistive technology users</t>
  </si>
  <si>
    <t>â€œI Just Assumed This Was Already Being Doneâ€: Canadian Patient Preferences for Enhanced Data Sharing for Precision Oncology</t>
  </si>
  <si>
    <t>Political Parties: The Bridge Between State and Civil Society</t>
  </si>
  <si>
    <t>Rabies in China: The role of rabies ecologies and pet activism</t>
  </si>
  <si>
    <t>Organizing for the Climate Emergency: Organizational Underpinnings of Climate Action</t>
  </si>
  <si>
    <t>Estimating the prevalence and correlates of pain among people living with HIV who use unregulated drugs in a Canadian setting</t>
  </si>
  <si>
    <t>The political economy of sugar-sweetened beverages taxation in Latin America: Lessons from Mexico, Chile and Colombia</t>
  </si>
  <si>
    <t>Parent–Child Relationship Outcomes in a Randomized Controlled Trial of Housing First for Indigenous and Non-Indigenous Parents Experiencing Homelessness, Mental Illness, and Separation From Their Children</t>
  </si>
  <si>
    <t>The health and care workforce in the Pandemic Agreement: championing equity and protecting collective capacity for future pandemics</t>
  </si>
  <si>
    <t>“Hot+Noisy” Public Space: Conviviality, “Unapologetic Asianness,” and the Future of Vancouver’s Chinatown</t>
  </si>
  <si>
    <t>If the evidence is not research, what is it? Egyptian physiciansâ€™ explanations of the lack of research citations in their health vlogs</t>
  </si>
  <si>
    <t>Ethos antirracista em saÃºde bucal coletiva como imperioso Ã  vida</t>
  </si>
  <si>
    <t>At the Intersection of Equity and Innovation: Trans Inclusion in the City of Vancouver</t>
  </si>
  <si>
    <t>Antiracist ethos and the collective oral health as a pathway for life</t>
  </si>
  <si>
    <t>Emerging Practices in Science Communication in Canada</t>
  </si>
  <si>
    <t>Conducting community-led research using trail cameras to develop baseline wandering domestic cat local abundance estimates</t>
  </si>
  <si>
    <t>Qualitatively exploring the intersection of health and housing needs in Canadian crowdfunding campaigns</t>
  </si>
  <si>
    <t>Neophotistoi and Apostates: Greece and Conversion in the Nineteenth Century</t>
  </si>
  <si>
    <t>Achieving Community Happiness and Well-Being Through Community Productivity</t>
  </si>
  <si>
    <t>Policy tools and (new) governance arrangements: Policy mixes and their effectiveness</t>
  </si>
  <si>
    <t>Comment moderation strategies in Canadian news media and their principles</t>
  </si>
  <si>
    <t>Anti-vertex for neighborhood constraints in subgraph queries</t>
  </si>
  <si>
    <t>Rhetoric of psychological measurement theory and practice</t>
  </si>
  <si>
    <t>Life in the â€˜Humâ€™: Belongings and Everyday Dispossession</t>
  </si>
  <si>
    <t>Introduction: Re-examining Media Governance Through Cosmopolitan Critique</t>
  </si>
  <si>
    <t>Can Managed Access Agreements Mitigate Evidentiary, Economic and Ethical Issues with Access to Expensive Drugs for Rare Diseases in the Canadian Context?</t>
  </si>
  <si>
    <t>Factors contributing to the mental wellbeing of community-dwelling older adults: A qualitative study from the Vancouver West End</t>
  </si>
  <si>
    <t>Governance of news aggregators’ practices across five emblematic cases: Policy regimes between normative acceptance and resistance</t>
  </si>
  <si>
    <t>Canadian newspaper coverage on harm reduction featuring bereaved mothers: A mixed methods analysis</t>
  </si>
  <si>
    <t>Moving Human Rights to the Forefront of Psychology: Summary of the Final Report of the APA Task Force on Human Rights</t>
  </si>
  <si>
    <t>Reflections on Decolonization and X_aaydaG_a Tll Yahda TllG_uhlG_a: a Haida Justice System</t>
  </si>
  <si>
    <t>Strategy design for New Public Governance and horizontal initiatives</t>
  </si>
  <si>
    <t>The power of aroma: gender, biopolitics and melodramatic imagination in the&lt;i&gt;Legend of Zhen Huan&lt;/i&gt;</t>
  </si>
  <si>
    <t>Involvement of people who inject drugs in injection initiation events: A cross-sectional analysis identifying similarities and differences across three North American settings</t>
  </si>
  <si>
    <t>Policy Shops, Hired Guns and Gatekeepers: The Allocation of Policy Analysts in Government Agencies</t>
  </si>
  <si>
    <t>Bringing the imperial back in: Reconsidering governance in the late Ottoman Empire, 1839–1923 (Part II)</t>
  </si>
  <si>
    <t>The Pigeons Coming Home to Roost: The Continuing Perils of Contracting Out in Canada</t>
  </si>
  <si>
    <t>Bringing the imperial back in: Reconsidering governance in the late Ottoman Empire, 1839–1923 (Part I)</t>
  </si>
  <si>
    <t>Coastal Fisheries</t>
  </si>
  <si>
    <t>Canadian Science Meets Parliament: Building relationships between scientists and policymakers</t>
  </si>
  <si>
    <t>Top Executive Gender Diversity and Financial Reporting Quality</t>
  </si>
  <si>
    <t>Concepts of Solution and the Finite Element Method: a Philosophical Take on Variational Crimes</t>
  </si>
  <si>
    <t>DamXan gud.ad tâ€™alang hllGang.gulXads Gina Tllgaay (Working together to make it a better world)</t>
  </si>
  <si>
    <t>Canadaâ€™s Human-Rights-Based Responses to Peacebuilding Efforts in the Context of Mass Atrocity</t>
  </si>
  <si>
    <t>Instruments and implementation styles</t>
  </si>
  <si>
    <t>Activism, Inclusion, and the Challenges of Deliberative Democracy Anna Drake, Vancouver: UBC Press, 2021, pp. 296</t>
  </si>
  <si>
    <t>Introduction: Studying policy styles at the national level and beyond</t>
  </si>
  <si>
    <t>Community-Based Participatory Research and Respondent-Driven Sampling: A Statisticianâ€™s, Community Partnerâ€™s and Studentsâ€™ Perspectives on a Successful Partnership</t>
  </si>
  <si>
    <t>Governance styles Re-thinking governance and public policy</t>
  </si>
  <si>
    <t>Adaptive Planning and Climate Focused Evaluation in an Era of Evolving Local Governance</t>
  </si>
  <si>
    <t>Prevalence and longitudinal correlates of recent exposure to fentanyl among HIV-positive people who use unregulated drugs during a community-wide overdose crisis</t>
  </si>
  <si>
    <t>Indoor radon regulation in Canada: Civic engagement of concerned scientists</t>
  </si>
  <si>
    <t>Settler-colonialism's anti-social contract The Wiley Invited Lecture at the 2019 annual meeting of the Canadian Association of Geographers</t>
  </si>
  <si>
    <t>The Indigo Project: Participatory Action Research with Gender and Sexual Minority Survivors of Elder Abuse</t>
  </si>
  <si>
    <t>Environmental Assessment of Housing for Older Adults Facing Housing Insecurity</t>
  </si>
  <si>
    <t>Temporary Housing for Older People: Addressing Housing Insecurity to Promote Aging in the Right Place</t>
  </si>
  <si>
    <t>Entry to hospitality careers for women and beyond: Immigrant training and feminist pedagogies and practices</t>
  </si>
  <si>
    <t>Nlakaâ€™pamux justice systems: An investigation of Xitlâ€™ix and the Lytton restorative justice prevention and education program</t>
  </si>
  <si>
    <t>A REVIEW OF CAVEATS AND FUTURE CONSIDERATIONS OF RESEARCH ON RESPONSIBLE AI ACROSS DISCIPLINES</t>
  </si>
  <si>
    <t>MEANINGS OF AGING IN THE RIGHT PLACE FOR HOUSING INSECURE OLDER ADULTS IN TEMPORARY HOUSING</t>
  </si>
  <si>
    <t>Public Administration and Corruption</t>
  </si>
  <si>
    <t>What Does It Mean to “Misuse” Research Data?</t>
  </si>
  <si>
    <t>The ECBâ€™s Climate Activities and Public Trust</t>
  </si>
  <si>
    <t>Community engagement in WHO guideline development</t>
  </si>
  <si>
    <t>The ECB's Climate Activities and Public Trust</t>
  </si>
  <si>
    <t>Struggling for the right to struggle: Cultural workers’ labour rights and unions</t>
  </si>
  <si>
    <t>Human Rights and Private Property</t>
  </si>
  <si>
    <t>Insights from First Nations, Government and Industry Leaders on Criteria for Successful Impact Benefit Agreements</t>
  </si>
  <si>
    <t>When misinformation migrates</t>
  </si>
  <si>
    <t>Assessing associations between individual-level social determinants of health and COVID-19 hospitalizations: Investigating racial/ethnic disparities among people living with human immunodeficiency virus (HIV) in the U.S. National COVID Cohort Collaborative (N3C)</t>
  </si>
  <si>
    <t>The visual representation of misinformation in the news</t>
  </si>
  <si>
    <t>“We Need To Be at the Table”: Collaboration with Lived Experts</t>
  </si>
  <si>
    <t>The Visual Representation of Misinformation in the News</t>
  </si>
  <si>
    <t>Citational politics in and through animal geographies: interrogating onto-epistemological diversity</t>
  </si>
  <si>
    <t>Resource Extraction, Ethics, and Social Capital</t>
  </si>
  <si>
    <t>On the legitimacy of conservative ideology</t>
  </si>
  <si>
    <t>The effects of election timing on national and subnational turnout in Canada</t>
  </si>
  <si>
    <t>From Rhetoric to Reality: Identifying Teacher Opportunities and Barriers in Educating for Human Rights</t>
  </si>
  <si>
    <t>Twitter Misinformation Discourses About Vaping: Systematic Content Analysis (Preprint)</t>
  </si>
  <si>
    <t>Antiracist ethos and the collective oral health as a pathway for life; Ethos antirracista em saúde bucal coletiva como imperioso à vida</t>
  </si>
  <si>
    <t>5 ways for governments to better tackle foreign disinformation</t>
  </si>
  <si>
    <t>Affordable Rental Housing and Older Adults: A Case Study for Community Development Initiatives</t>
  </si>
  <si>
    <t>The pandemic highlights the importance of walkable and wheelable neighbourhoods</t>
  </si>
  <si>
    <t>South Korean Labor and Infrastructure in Saudi Arabia during the Late Cold War</t>
  </si>
  <si>
    <t>METHODOLOGICAL AND ETHICAL REFLECTIONS FROM RESEARCH ON NEIGHBOURHOOD-BUILT ENVIRONMENT AND DEMENTIA</t>
  </si>
  <si>
    <t>Mapping Municipal Colonialism: Counternarratives of Neighbourhood-as-Home in Strathcona, 1968â€“69</t>
  </si>
  <si>
    <t>One-Size-Fits-All? How north-south inequality challenges CITES’ ability to protect the scalloped hammerhead</t>
  </si>
  <si>
    <t>COVID-19 and Vitamin D Misinformation on YouTube: Content Analysis (Preprint)</t>
  </si>
  <si>
    <t>â€œWE NEED TO BE AT THE TABLEâ€ COLLABORATION WITH OLDER ADULTS WITH EXPERIENCES OF HOMELESSNESS</t>
  </si>
  <si>
    <t>Trade unions and the evolution of labour market policy</t>
  </si>
  <si>
    <t>Conceptualizing the Shelter and Housing Needs and Solutions of Older People Experiencing Homelessness</t>
  </si>
  <si>
    <t>Vaccine related crowdfunding on a ‘Freedom Fundraising’ platform</t>
  </si>
  <si>
    <t>Shelter and Housing Options, Supports, and Interventions for Older People Experiencing Homelessness</t>
  </si>
  <si>
    <t>Guarding information's Other: Theorising beyond information and communications technologies for disinformation</t>
  </si>
  <si>
    <t>Algorithmic ethics: Algorithms and society</t>
  </si>
  <si>
    <t>Levels of Governance</t>
  </si>
  <si>
    <t>A Family Member or a Professional Manager? The Role of Trust in the Choice of CEO in Family Firms</t>
  </si>
  <si>
    <t>SOCIAL INTEGRATION IN TEMPORARY HOUSING: PERSPECTIVES OF OLDER PERSONS EXPERIENCING HOMELESSNESS</t>
  </si>
  <si>
    <t>Individual physical activity, neighbourhood active living environment and mental illness hospitalisation among adults with cardiometabolic disease: A Canadian population-based cohort analysis</t>
  </si>
  <si>
    <t>â€œI know a guyâ€: Examining homeless income generation and spatial mobility</t>
  </si>
  <si>
    <t>Multilayer depressive symptom networks in adults with bodily pain living in precarious housing or homelessness</t>
  </si>
  <si>
    <t>Worker Resistance in Digital Capitalism</t>
  </si>
  <si>
    <t>The Completion of Politics and the End of Liberal Democracy</t>
  </si>
  <si>
    <t>Digital Existence and Its Impossible Education and Democracy</t>
  </si>
  <si>
    <t>Creating incubator neighbourhood performing arts venues using growth financing tools</t>
  </si>
  <si>
    <t>Nigeriaâ€™s digital diaspora: citizen media, democracy, participation</t>
  </si>
  <si>
    <t>Have-not neighbourhoods hurt by about-face on engaging with the community in urban planning</t>
  </si>
  <si>
    <t>Reflections From Implementing a Virtual Social Innovation Lab</t>
  </si>
  <si>
    <t>Configurations of High Corporate Environmental Responsibility with Regard to Business Legitimacy: A Cross-National Approach</t>
  </si>
  <si>
    <t>The perspectives of street-involved youth who use drugs regarding the acceptability and feasibility of HIV pre-exposure prophylaxis: a qualitative study</t>
  </si>
  <si>
    <t>Homeless people deserve the same right to their belongings that we all have</t>
  </si>
  <si>
    <t>The role of neighbourhood environments in hospitalization risk for diabetes and related conditions: A population-based cohort analysis by remoteness and deprivation indices</t>
  </si>
  <si>
    <t>BEING AND STAYING ELIGIBLE FOR SERVICES: PROVIDERSâ€™ VIEWS ON SUPPORTING OLDER ADULTS EXPERIENCING HOMELESSNESS</t>
  </si>
  <si>
    <t>Customer Satisfaction and Loyalty with Corporate Multi-Brand Web Sites in an Era of Social Media and Misinformation.</t>
  </si>
  <si>
    <t>Social position and economic system justification in Canada: Implications for advancing health equity and social justice from an exploratory study of factors shaping economic system justification</t>
  </si>
  <si>
    <t>Older people who are homeless need better access to hospice and palliative care</t>
  </si>
  <si>
    <t>Age-varying effects of repeated emergency department presentations for children in Canada</t>
  </si>
  <si>
    <t>10 Subtyping Serial Position Score Profiles to Investigate the Nature of Memory Impairment in Homeless and Precariously Housed Persons</t>
  </si>
  <si>
    <t>Policy instruments and policy implementation for sustainable development governance</t>
  </si>
  <si>
    <t>Array of Services for Homeless Mentally Ill in Six Canadian Cities: Non-Governmental Organizationsâ€™ Contributions and Perspectives</t>
  </si>
  <si>
    <t>Differs in dignity: Shame, privacy, and the law</t>
  </si>
  <si>
    <t>Sean Carleton, Lessons in Legitimacy: Colonialism, Capitalism, and the Rise of State Schooling in British Columbia</t>
  </si>
  <si>
    <t>Real-world evidence of sofosbuvir/velpatasvir as an effective and simple hepatitis C virus treatment and elimination tool in homeless populations</t>
  </si>
  <si>
    <t>Replication Data for: Explaining Women's Political Underrepresentation in Democracies with High Levels of Corruption</t>
  </si>
  <si>
    <t>Indigenous ambivalence? It’s not about the pipeline: Indigenous responses to fossil fuel export projects in Western Canada</t>
  </si>
  <si>
    <t>Introduction: Re-examining Media Governance ThroughÂ Cosmopolitan Critique</t>
  </si>
  <si>
    <t>Effect of Opioid Use and Depressive Symptoms on Bodily Pain Severity in Adults Living in Precarious Housing or Homelessness: A Longitudinal Prospective Study (2847)</t>
  </si>
  <si>
    <t>The relationship between neighbourhood income and youth mental health service use differs by immigration: Analysis of population-based data in British Columbia, Canada</t>
  </si>
  <si>
    <t>Reviewing volcano hazard and risk communications in Ecuador: Experiences from a fast-format workshop</t>
  </si>
  <si>
    <t>Differential age-associated brain atrophy and white matter changes among homeless and precariously housed individuals compared to the general population</t>
  </si>
  <si>
    <t>Ethical Implications of Artificial Intelligence in Population Health and the Publicâ€™s Role in Its Governance: Perspectives From a Citizen and Expert Panel (Preprint)</t>
  </si>
  <si>
    <t>Sunscreen Posts on Twitter in the United States and Canada, 2019: Content Analysis</t>
  </si>
  <si>
    <t>Accelerated Brain Atrophy and Changes in White Matter Diffusivity are Associated With Mortality, Declining Health, and Declining Cognitive Functioning Among Homeless and Precariously Housed Individuals: A Longitudinal Study</t>
  </si>
  <si>
    <t>Overview and evidence-based recommendations to address health and human rights inequities faced by sex workers</t>
  </si>
  <si>
    <t>Governance Dilemmas in Canada, North America, and Beyond: A Tribute to Stephen Clarkson</t>
  </si>
  <si>
    <t>Whither “the people?": Populism, ideology, and the contested politics of sport</t>
  </si>
  <si>
    <t>How good governance can stop toxic â€˜bro behaviourâ€™ at companies</t>
  </si>
  <si>
    <t>Social Circus: The Rise of an ‘Inclusive’ Movement for Collective Creativity</t>
  </si>
  <si>
    <t>Citizensâ€™ assemblies: Pioneered in B.C. 20 years ago, theyâ€™re a growing pro-democracy tool</t>
  </si>
  <si>
    <t>Introduction to the Research Handbook on the Law and Politics of Migration: Law, politics, and the spaces between</t>
  </si>
  <si>
    <t>Reversing the decline in shark and ray populations is possible, but requires strong governance and management</t>
  </si>
  <si>
    <t>The discourses of Gender, Violence and Social Inequality in the era of digital communication; Los discursos de género, violencia y desigualdad social en la era de la comunicación (digital)</t>
  </si>
  <si>
    <t>Disaggregating Sustainable Transitions Through Power and Governance Arrangements in Municipal Enterprises: A Case Study of the Canmore Community Housing Corporation</t>
  </si>
  <si>
    <t>Off-cycle: Comparing model sustainable neighbourhoods in France and Canada</t>
  </si>
  <si>
    <t>Book review: Reluctant Power: Networks, Corporations, and the Struggle for Global Governance in the Early 20th Century</t>
  </si>
  <si>
    <t>The role of scientific societies in promoting and protecting human rights and the example of the American psychological association</t>
  </si>
  <si>
    <t>David Stasavage, The Decline and Rise of Democracy: A Global History from Antiquity to Today (Princeton, NJ: Princeton University Press, 2020)</t>
  </si>
  <si>
    <t>Precarious Democracy: Ethnographies of Hope, Despair, and Resistance in Brazil, Edited by Benjamin Junge, Sean T. Michell, Alvaro JarrÃ­n, and Lucia Cantero, (New Brunswick: Rutgers University Press, 2021)</t>
  </si>
  <si>
    <t>The quest for an adequate test: Justifying the sustainable city as an order of worth</t>
  </si>
  <si>
    <t>DEMOCRATIZING EDUCATION: PEDAGOGICAL ACTIVISM AND TECHNOLOGICAL FUTURES</t>
  </si>
  <si>
    <t>INDIGENOUS KNOWLEDGE, KNOWLEDGE-HOLDERS AND MARINE ENVIRONMENTAL GOVERNANCE</t>
  </si>
  <si>
    <t>Public Engagement</t>
  </si>
  <si>
    <t>The power of aroma: gender, biopolitics and melodramatic imagination in the Legend of Zhen Huan</t>
  </si>
  <si>
    <t>The Constitution</t>
  </si>
  <si>
    <t>The Indigo Project, Methodology</t>
  </si>
  <si>
    <t>Allying with School Teachers</t>
  </si>
  <si>
    <t>The protective association of social cohesion on sex workers’ experiences of violence and access to community support: Impacts of resource sharing, trust and connection among a community-based cohort in Metro Vancouver, Canada (2010–2022)</t>
  </si>
  <si>
    <t>COMMUNAL SUPPORT PREDICTS BETTER MENTAL HEALTH: KNOWLEDGE TRANSLATION AMONG OLDER ADULTS DURING COVID-19</t>
  </si>
  <si>
    <t>Building Partnerships and Co-creating with Diverse Stakeholders</t>
  </si>
  <si>
    <t>Negotiating connections, confinements, and neighbourhood places: Older adults’ everyday well-being during the COVID-19 pandemic and beyond</t>
  </si>
  <si>
    <t>Replication Data for: Vaccine hesitancy in online spaces: A scoping review of the research literature, 2000-2020</t>
  </si>
  <si>
    <t>Structural Brain Network Implications of Cerebral Small Vessel Disease Burden Among Adults Living in Precarious Housing (2918)</t>
  </si>
  <si>
    <t>To tent and protect: Homeless encampments as “protective facilities”</t>
  </si>
  <si>
    <t>At-Homeness: Rethinking Personhood-in-Community Through the Lens of Social Identity</t>
  </si>
  <si>
    <t>Coming Full Circle: What Happens When Your Class Turns into â€˜Real Lifeâ€™</t>
  </si>
  <si>
    <t>Changing the focus: Facilitating engagement in physical activity for people living with mild dementia in a local community—Protocol for a pre-post mixed methods feasibility study</t>
  </si>
  <si>
    <t>THE ROLE OF COMMUNITY-BASED ORGANIZATIONS IN SUPPORTING HEALTHY AGING</t>
  </si>
  <si>
    <t>“I Just Assumed This Was Already Being Done”: Canadian Patient Preferences for Enhanced Data Sharing for Precision Oncology</t>
  </si>
  <si>
    <t>Introduction: Definition of the Problem, Outline of the Argument</t>
  </si>
  <si>
    <t>Imagining and implementing healthy city interventions: Combined results from parallel concept mapping exercises in Montreal with community members and stakeholders</t>
  </si>
  <si>
    <t>OLDER ADULTS WITH DISABILITIES AS CORESEARCHERS IN COMMUNITY-ENGAGED RESEARCH ON MOBILITY AND ACCESS</t>
  </si>
  <si>
    <t>Dealing with policy nexuses through policy integration: Governance strategies and the policy capacities needed to meet un sustainable development goals</t>
  </si>
  <si>
    <t>The Problem with Authoritarian Populists</t>
  </si>
  <si>
    <t>Confronting Rural Localism: The Good Roads Movement in Quebec’s Eastern Townships, 1897–1920</t>
  </si>
  <si>
    <t>Characterizing the Gendered Twitter Discussion of COVID-19 Hoax</t>
  </si>
  <si>
    <t>A Social Network Analysis of Traditional Labrets and Horizontal Relationships in the Salish Sea Region of Northwestern North America</t>
  </si>
  <si>
    <t>UNDERSTANDING INCLUSIVE PHYSICAL PLACES AND VIRTUAL SPACES: THE FORTITUDE OF OLDER MARGINALIZED COMMUNITIES</t>
  </si>
  <si>
    <t>Experiences and resultant care gaps among women with HIV in Canada: concept mapping the Canadian HIV Women’s Sexual and Reproductive Health Cohort Study (CHIWOS) findings</t>
  </si>
  <si>
    <t>FACILITATORS AND BARRIERS IN NAVIGATING COMMUNITY AND HEALTH CARE SYSTEM AMONG INFORMAL CAREGIVERS OF OLDER ADULTS</t>
  </si>
  <si>
    <t>Optimized Schwarz domain decomposition algorithms for the closest point method on closed manifolds</t>
  </si>
  <si>
    <t>“Nobody has written the book about what non-binary people should put forward in relationships”: Exploring gender equity in relationships of queer, trans, and non-monogamous young women and non-binary youth in British Columbia, Canada</t>
  </si>
  <si>
    <t>Re-incarceration and associated social, structural and behavioural factors among people who use drugs in an urban Canadian setting</t>
  </si>
  <si>
    <t>Optimized Schwarz Domain Decomposition Algorithms for the Closest Point Method on Closed Manifolds</t>
  </si>
  <si>
    <t>Involuntary discharge from drug or alcohol treatment programs in Vancouver, Canada</t>
  </si>
  <si>
    <t>Blooming Through the Cracks: The Effects of Fault Lines in Corporate Boards on Information-Technology Value</t>
  </si>
  <si>
    <t>There Is No Community Here: Living Alone, Place, and Older Peoples' Risk of Social Isolation</t>
  </si>
  <si>
    <t>Discursive institutionalism</t>
  </si>
  <si>
    <t>Social Media Hate Against Female Journalists</t>
  </si>
  <si>
    <t>Hybrid co-production of public services</t>
  </si>
  <si>
    <t>Negotiating the Possible Through the Artificial</t>
  </si>
  <si>
    <t>The Art of Deluding Ourselves and Others</t>
  </si>
  <si>
    <t>Will Kymlicka’s normative defense of liberal multiculturalism</t>
  </si>
  <si>
    <t>All Countries Will Agree on Climate Fairness</t>
  </si>
  <si>
    <t>Unpacking Mental Health: Intersectionality-informed Approaches to Upholding Human Rights and Realizing Social Justice</t>
  </si>
  <si>
    <t>The Commodification of Mobile Communications in Cuba: Tracking Political and Economic Change</t>
  </si>
  <si>
    <t>The Canadian VirusSeq Data Portal and Duotang: open resources for SARS-CoV-2 viral sequences and genomic epidemiology</t>
  </si>
  <si>
    <t>Acceptability of Built Environment Interventions to Support Active Travel in 17 Canadian Metropolitan Areas: Findings from the Thepa Study</t>
  </si>
  <si>
    <t>Abstract WMP99: A Novel Network Analysis of County- and Individual-Level Factors Associated With Functional Outcomes After Stroke</t>
  </si>
  <si>
    <t>Conclusion: Cosmopolitan Critique as a Counterhegemonic Methodology</t>
  </si>
  <si>
    <t>Sovereign at heart: photovoice, food mapping and giving back in Alberni-Clayoquot</t>
  </si>
  <si>
    <t>Building Autonomous Power: Solidarity Networks in Precarious Times</t>
  </si>
  <si>
    <t>Bereaved mothers’ media coverage and public support for harm reduction in Canada</t>
  </si>
  <si>
    <t>The Use, Misuse, and Abuse of Historical Records of Child Height to Document Changes in Biological Standards of Living or Well-Being</t>
  </si>
  <si>
    <t>MUTUALITY AMONG EAST ASIAN DIASPORA AT A NATURALLY OCCURRING RETIREMENT COMMUNITY IN METRO VANCOUVER</t>
  </si>
  <si>
    <t>The Democracy That Never Was: A Critique of Liberal Democracy</t>
  </si>
  <si>
    <t>Toward a Holistic Approach to Central Bank Trust</t>
  </si>
  <si>
    <t>Global climate change governance: Three models into one?</t>
  </si>
  <si>
    <t>The Effect of the Security and Exchange Commission’s Investigations into Corporate Social Responsibility Performance</t>
  </si>
  <si>
    <t>The Executive</t>
  </si>
  <si>
    <t>Conversations on Ethical Leadership: Lessons Learned from University Governance</t>
  </si>
  <si>
    <t>Conclusion Chapter: Propositions at the Threshold of Transformation</t>
  </si>
  <si>
    <t>True insights or ticking boxes? Rapid assessment of rights-based management in artisanal fisheries</t>
  </si>
  <si>
    <t>Examining The Care Pathways Patients Experience When Accessing Outpatient Psychiatric Care in British Columbia</t>
  </si>
  <si>
    <t>Correction to: Aging in the Right Place for Older Adults Experiencing Housing Insecurity: An Environmental Assessment of Temporary Housing Program (International Journal of Environmental Research and Public Health, (2022), 19, 22, (14857), 10.3390/ijerph192214857)</t>
  </si>
  <si>
    <t>Criminal Law &amp; Digital Technologies: Drawing Lessons from the Canadian and American Experiences</t>
  </si>
  <si>
    <t>Cultural Resource Damage Assessment</t>
  </si>
  <si>
    <t>KNOWLEDGE MOBILIZATION TO DEVELOP DEMENTIA-INCLUSIVE COMMUNITIES IN THE DEMSCAPE PROJECT</t>
  </si>
  <si>
    <t>HARNESSING LAW AND POLICY FOR THE PROTECTION OF INTERSEX INDIVIDUALS: FACING UPTO LACUNAE IN CANADIAN LEGALFRAMEWORKS AGAINST SEX AND GENDER DISCRIMINATION</t>
  </si>
  <si>
    <t>A Conceptual Framework of Person-Environment Relations in the Out-of-Home Mobility of People Living With Dementia</t>
  </si>
  <si>
    <t>Cycling Frequency Changes During the COVID-19 Pandemic in Canada’s Most Populous Urban Regions</t>
  </si>
  <si>
    <t>â€œIt is not a disease, only memory lossâ€</t>
  </si>
  <si>
    <t>“We Can Do Our Own Thing Here on Haida Gwaii”: The Haida Nation’s Response to COVID-19</t>
  </si>
  <si>
    <t>Domestic workers from margin to center: protest, opportunity and threat in pandemic politics</t>
  </si>
  <si>
    <t>Towards fourth-generation science museums: changing goals, changing roles Hacia la cuarta generación de los museos de ciencia: cambio de objetivos, cambio de funciones; Vers des musées scientifiques de quatrième génération: changer les objectifs, changer les rôles; Hacia la cuarta generación de los museos de ciencia: cambio de objetivos, cambio de funciones</t>
  </si>
  <si>
    <t>Translating and disseminating a localised economic model to support implementation of the ‘Ending the HIV Epidemic’ initiative to public health policymakers</t>
  </si>
  <si>
    <t>Pathways to Gender Equality in Design</t>
  </si>
  <si>
    <t>The Persuasiveness of Accounting Records in the Context of Modern Slavery</t>
  </si>
  <si>
    <t>Women's activist filmmaking against gendered violence in Pakistan</t>
  </si>
  <si>
    <t>Dance Through a Pandemic</t>
  </si>
  <si>
    <t>Putting Math in its Place A Review of Cathy O’Neil’s Weapons of Math Destruction: How Big Data Increases Inequality and Threatens Democracy</t>
  </si>
  <si>
    <t>What is the Peopleâ€™s Republic of China to Canada? Towards a rethinking of bilateral relations</t>
  </si>
  <si>
    <t>Community-Based Participatory Research and Respondent-Driven Sampling: A Statistician’s, Community Partner’s and Students’ Perspectives on a Successful Partnership</t>
  </si>
  <si>
    <t>Towards a multifactorial framework of the Romaâ€™s victimisation: Discrimination, risky situations, and acceptance of violence as correlates of physical assault and harassment</t>
  </si>
  <si>
    <t>Adapting and Scaling a Digital Health Intervention to Improve Maternal and Child Health Among Ethnic Minority Women in Vietnam Amid the COVID-19 Context: Protocol for the dMOM Project</t>
  </si>
  <si>
    <t>2020 and the Future of Freedom, Social Peace, and Prosperity</t>
  </si>
  <si>
    <t>Institutional and Cultural Barriers to ACP: Staff Perspectives</t>
  </si>
  <si>
    <t>COVID-19 in Asia: Governance and the Politics of the Pandemic</t>
  </si>
  <si>
    <t>The Market Lives on Death: The Endocolonizing Logic of the Fascist Moment</t>
  </si>
  <si>
    <t>Experimental approaches to the study of political participation</t>
  </si>
  <si>
    <t>Conclusion: Lessons from Military Procurement for Procurement Studies</t>
  </si>
  <si>
    <t>Pakistan: Between Modernity and Religion</t>
  </si>
  <si>
    <t>Divergent notions of “quality” in healthcare policy implementation: a framing perspective</t>
  </si>
  <si>
    <t>Outside In</t>
  </si>
  <si>
    <t>The digital divide: An ongoing state of emergency in adult literacy programs</t>
  </si>
  <si>
    <t>Politics and Religion</t>
  </si>
  <si>
    <t>Criminal Law and Digital Technologies: An Institutional Approach to Rule Creation in a Rapidly Advancing and Complex Setting</t>
  </si>
  <si>
    <t>Case Study: A Community-Based Approach to Developing Optimal Housing for Low-Income Older Adults</t>
  </si>
  <si>
    <t>Democratic Frontiers: Lgorithms and Society</t>
  </si>
  <si>
    <t>Your Secrets are Safe with Me? Audience Response to the Exit of Partners with Brokerage Advantage</t>
  </si>
  <si>
    <t>Neighbourhood-level material deprivation and response to combination antiretroviral therapy in the Canadian Observational Cohort (CANOC): a longitudinal cohort study</t>
  </si>
  <si>
    <t>Issue Accountability in Non-Partisan Municipalities: A Case Study</t>
  </si>
  <si>
    <t>How do People Become a Mass?1</t>
  </si>
  <si>
    <t>Han versus Non-Han</t>
  </si>
  <si>
    <t>French in African Contact Settings</t>
  </si>
  <si>
    <t>Perceiving Danger: The Impact of Societal Stressors on Police Line of Duty Deaths</t>
  </si>
  <si>
    <t>The Third International Workshop on Smart Data for Blockchain and Distributed Ledger (SDBD2021): Joint Workshop with SIGKDD 2021 Trust Day</t>
  </si>
  <si>
    <t>Love Me, Love My Dog</t>
  </si>
  <si>
    <t>Client-centered policing: A focus on positive community contacts within Canada</t>
  </si>
  <si>
    <t>PREVALENCE AND PREDICTORS OF INCREASED VERBAL/PHYSICAL CONFLICT DURING COVID-19: CLSA FINDINGS</t>
  </si>
  <si>
    <t>OLDER PEOPLE'S ACTIVITY PARTICIPATION (OPAP): FACTOR STRUCTURE AND PSYCHOMETRIC PROPERTIES OF A SCALE</t>
  </si>
  <si>
    <t>Refined Upper Bounds on the Size of the Condensed Neighbourhood of Sequences</t>
  </si>
  <si>
    <t>Decontextualizing Software Craftwork: An Ethnography of an Emerging Blockchain and Climate Venture</t>
  </si>
  <si>
    <t>I Call This Institutionalized Rape*</t>
  </si>
  <si>
    <t>Asian Womenâ€™s Experience of Fear of Crime on Public Transportation in Metro Vancouver</t>
  </si>
  <si>
    <t>Introduction: Procurement and Politicsâ€”The Defence Policy Consensus or Aligning Strategy and Policy Is Necessary ButÂ Not Automatic</t>
  </si>
  <si>
    <t>Investing in the commons: Transient welfare creates incentives despite open access</t>
  </si>
  <si>
    <t>Deconstructing legitimized racism on Haida Gwaii</t>
  </si>
  <si>
    <t>Effects of network topology and trait distribution on collective decision making</t>
  </si>
  <si>
    <t>Impact of migration from an illicit drug scene on hospital outcomes among people who use illicit drugs in Vancouver, Canada</t>
  </si>
  <si>
    <t>Sustainability and tourism growth.</t>
  </si>
  <si>
    <t>The impact of COVID-19 on the debate on open science: An analysis of expert opinion</t>
  </si>
  <si>
    <t>'It is not a disease, only memory loss': Exploring the complexity of access to a diagnosis of dementia in a cross-cultural sample. exploring the complexity of access to a diagnosis of dementia in a cross-cultural sample.</t>
  </si>
  <si>
    <t>â€œPEOPLE DON'T LIVE IN A VACUUMâ€: CO-DEVELOPING A BRAIN HEALTH PILOT PROGRAM IN THE COMMUNITY THROUGH CITIZEN SCIENCE</t>
  </si>
  <si>
    <t>The social contract between CSR and social license: A sentiment and emotion analysis</t>
  </si>
  <si>
    <t>If Research is Not the Evidence, What is it? Egyptian Physiciansâ€™ Explanations of the Lack of Research Citations in their Health Vlogs</t>
  </si>
  <si>
    <t>Side Effect Reporting in Online Drug Reviews</t>
  </si>
  <si>
    <t>Economic Impact of Global COVID-19 Pandemic and Policy Implications: A Global-Regional Integrated Framework</t>
  </si>
  <si>
    <t>Why are school systems in South Asia seriously under-performing?</t>
  </si>
  <si>
    <t>Deepening digitization: Digitalization and modernization recruitment challenges in Canadian public administration</t>
  </si>
  <si>
    <t>Relationship between pharmacotherapy for major depressive disorder and healthcare utilisation in British Columbia, Canada: a retrospective population-based cohort</t>
  </si>
  <si>
    <t>Interview with Martin Jay</t>
  </si>
  <si>
    <t>Tar &amp;amp; Feathers: Agnotology, Dissent, and Queer Mormon Polygamy</t>
  </si>
  <si>
    <t>Failure to Launch: Tracing the Trajectory of Democratic Innovation Adoption in Canada</t>
  </si>
  <si>
    <t>Adapting and Scaling a Digital Health Intervention to Improve Maternal and Child Health Among Ethnic Minority Women in Vietnam Amid the COVID-19 Context: Protocol for the dMOM Project (Preprint)</t>
  </si>
  <si>
    <t>(Un)civilizing rituals: Challenging cultural memory at the Canadian Museum for Human Rights</t>
  </si>
  <si>
    <t>Carbon Trading and Corporate Sustainability: Evidence from China's ESG Performance Enhancement</t>
  </si>
  <si>
    <t>Age differences in the moderating effects of neighbourhood disadvantage on the relationship between physical activity and cognitive function: A longitudinal analysis of the Canadian Longitudinal Study on Aging</t>
  </si>
  <si>
    <t>Algorithmic Technology</t>
  </si>
  <si>
    <t>South American policy regionalism: Drivers and barriers to international problem solving</t>
  </si>
  <si>
    <t>Huo, X. (2020). Higher Education Internationalization and English Language Instruction: Intersectionality of Race and Language in Canadian Universities. Cham: Springer International Publishing AG.</t>
  </si>
  <si>
    <t>Esports culture in North America</t>
  </si>
  <si>
    <t>When Science Museums Re-imagine Their Social Roles: Responding to the COVID-19 Pandemic</t>
  </si>
  <si>
    <t>Towards a multifactorial framework of the Roma’s victimisation: Discrimination, risky situations, and acceptance of violence as correlates of physical assault and harassment</t>
  </si>
  <si>
    <t>Addressing Grand Challenges Through Unconventional Leadership Styles and Novel Organizing Mechanisms</t>
  </si>
  <si>
    <t>How Does Market Competition Affect Shareholder Voting? Evidence from Branching Deregulation in the U.S. Banking Market</t>
  </si>
  <si>
    <t>Follow the Arrows: Using a Co-Created Causal Loop Diagram to Explore Leverage Points to Strengthen Population Physical Activity Promotion in British Columbia, Canada</t>
  </si>
  <si>
    <t>Mapping and Quantifying Anthropogenic Disturbances on the Landscape</t>
  </si>
  <si>
    <t>Bridges to the Present</t>
  </si>
  <si>
    <t>Streams of Consciousness: New Demands on Philosophy and Water Policy in a Crowded World</t>
  </si>
  <si>
    <t>Good technology invites response</t>
  </si>
  <si>
    <t>Exploring Ethical Space in land use planning: a case study of the Upper Columbia, British Columbia</t>
  </si>
  <si>
    <t>Characterising and reassessing people-centred data governance in cities</t>
  </si>
  <si>
    <t>Gongju Ren â€œTool Peopleâ€: Alienation, Spiritual Lethargy, and Social Work in China</t>
  </si>
  <si>
    <t>THE STUDENT DEMOCRACY MOVEMENT IN CHANGCHUN</t>
  </si>
  <si>
    <t>WHO NEEDS THEIR NEIGHBORS? EXPLORING NEIGHBORHOOD DISPARITIES IN COGNITIVE FUNCTION THROUGH PATH ANALYSIS</t>
  </si>
  <si>
    <t>Becoming a Librarian Amidst a Professional Identity Crisis</t>
  </si>
  <si>
    <t>Archives of No Place: The Frivolous Line In Mounira Al Solh’s Portraiture</t>
  </si>
  <si>
    <t>The Future is (Still) Open (and Growing)</t>
  </si>
  <si>
    <t>FROM PERFORMING EQUITY TO LOVING EQUITY: Combating whiteness in emerging allyship movements</t>
  </si>
  <si>
    <t>Evasion</t>
  </si>
  <si>
    <t>FACING THE STATE: Mapping the transformations of the Iranian women’s movements over four decades</t>
  </si>
  <si>
    <t>Patronage Like China: Informal Institution, Promotion Incentives and Air Pollution</t>
  </si>
  <si>
    <t>Gender and global health governance</t>
  </si>
  <si>
    <t>Mag Men: Fifty Years of Making Magazines</t>
  </si>
  <si>
    <t>Weight bias and identity characteristics among students at a public university in Southern Brazil; Discriminação relacionada ao peso e suas vinculações com características identitárias entre estudantes de uma universidade pública no sul do Brasil</t>
  </si>
  <si>
    <t>Socio-Technical Dimensions for a Sustainable Housing Transition</t>
  </si>
  <si>
    <t>Extractive industry for the Green Transition: mining, and land conflicts in the lithium triangle of South America</t>
  </si>
  <si>
    <t>Anxiety and Depressive Disorders in Older Adults</t>
  </si>
  <si>
    <t>Imagining and Implementing Healthy City Interventions: Combined Results from Parallel Concept Mapping Exercises in Montreal with Community Members and Stakeholders</t>
  </si>
  <si>
    <t>The Origins and Early Development of Statute Labor in Quebec’s Eastern Townships, 1796-1861</t>
  </si>
  <si>
    <t>Introduction to the Simon Fraser â€“ University of Calgary Special Issue</t>
  </si>
  <si>
    <t>Place-based generosity during the pandemic: Innovative rural philanthropic organizations’ responses to COVID-19 and (re-)building resilient rural communities in Canada</t>
  </si>
  <si>
    <t>Islamic Law, Secularism, and the Modern State: Recasting a Scholarly Debate</t>
  </si>
  <si>
    <t>IKT for Research Stage 1: Partnership Building</t>
  </si>
  <si>
    <t>Evaluating experiences of HIV-related stigma among people living with HIV diagnosed in different treatment eras in British Columbia, Canada</t>
  </si>
  <si>
    <t>IKT for Research Stage 2: Generating Priorities and Ideas</t>
  </si>
  <si>
    <t>POS0504â€…LOW SOCIAL SUPPORT, WORSE FINANCIAL STATUS AND LIMITED PHYSICAL ACTIVITY AT RHEUMATOID ARTHRITIS ONSET PREDICTS EXCESS DISABILITY OVER 10 YEARS</t>
  </si>
  <si>
    <t>ALLYING WITH SCHOOL TEACHERS: Co-Journeying for Creating Positive Impact</t>
  </si>
  <si>
    <t>IKT for Research Stage 5: Data Collection</t>
  </si>
  <si>
    <t>Archival Science in Interdisciplinary Theory and Practice</t>
  </si>
  <si>
    <t>IKT for Research Stage 4: Study Design</t>
  </si>
  <si>
    <t>Journalists’ Reporting on Traditional Chinese Medicine during COVID-19: Integrating Medical Practices Under Multiculturalism or Combating Misinformation?</t>
  </si>
  <si>
    <t>IKT for Research Stage 8: Dissemination</t>
  </si>
  <si>
    <t>Global solidarity as a non-anthropocentric, radical relational self-interest: the COVAX facility and governance of wicked problems in late global capitalism; Solidaridad global como autointerés relacional radical y no antropocéntrico: la instalación COVAX y la gobernanza de los problemas retorcidos en el capitalismo global tardío</t>
  </si>
  <si>
    <t>IKT for Research Stage 3: Proposal Development</t>
  </si>
  <si>
    <t>Canada’s Human-Rights-Based Responses to Peacebuilding Efforts in the Context of Mass Atrocity</t>
  </si>
  <si>
    <t>IKT for Research Stage 7: Reporting</t>
  </si>
  <si>
    <t>IKT for Research Stage 6: Data Analysis</t>
  </si>
  <si>
    <t>Handbook of Innovations in Political Psychology</t>
  </si>
  <si>
    <t>Unruly Speech: Displacement and the Politics of Transgression</t>
  </si>
  <si>
    <t>From coexistence to cooperation: International law and organization in the post-cold war era</t>
  </si>
  <si>
    <t>Attachment goes to court: child protection and custody issues</t>
  </si>
  <si>
    <t>The household in Isocrates’ political thought</t>
  </si>
  <si>
    <t>Evaluation of the gap in delivery of opioid agonist therapy among individuals with opioidâ€related health problems: a populationâ€based retrospective cohort study</t>
  </si>
  <si>
    <t>Indian democracy at the crossroads</t>
  </si>
  <si>
    <t>Gum yan asing Kaangas giidaay han hll guudang gas ga. I Will Never Again Feel That I Am Less Than: Indigenous Health Care Providersâ€™ Perspectives on Ending Racism in Health Care</t>
  </si>
  <si>
    <t>Leadership, vision, and the role of chancellor in university governance</t>
  </si>
  <si>
    <t>Attachment goes to court: child protection and custody issues.</t>
  </si>
  <si>
    <t>Mapping Municipal Colonialism: Counternarratives of Neighbourhood-as-Home in Strathcona, 1968-69</t>
  </si>
  <si>
    <t>Upscaling marine forest restoration: challenges, solutions and recommendations from the Green Gravel Action Group</t>
  </si>
  <si>
    <t>Community development: Navigating the Rocky shoals of community change</t>
  </si>
  <si>
    <t>The Columbia River Treaty’s adaptive capacity for fish conservation</t>
  </si>
  <si>
    <t>El Apego Va a Juicio: Problemas de Custodia y ProtecciÃ³n Infantil1</t>
  </si>
  <si>
    <t>Leisure to attend to our spiritual business</t>
  </si>
  <si>
    <t>On Technology Ecosystems: De-Jure Standards Setting by Firms</t>
  </si>
  <si>
    <t>Place-based Development</t>
  </si>
  <si>
    <t>DECONTEXTUALIZING SOFTWARE CRAFTWORK: AN ETHNOGRAPHY OF AN EMERGING BLOCKCHAIN AND CLIMATE VENTURE</t>
  </si>
  <si>
    <t>Data Sources for Future Research: Economic Systems, Taxation, Safety Nets, and Democracy</t>
  </si>
  <si>
    <t>Data Sources for Future Research: Governance and Governing Mechanisms</t>
  </si>
  <si>
    <t>A Revolution in Training Speech-Language Therapists in Sub-Saharan Countries and Globally</t>
  </si>
  <si>
    <t>Forensic practices and mass violence: contemporary perspectives and research challenges; Práticas forenses e violência em massa: Perspectivas contemporâneas e desafios para a pesquisa; Practicas forenses y violencia en masa: Perspectivas contemporaneas y retos investigativos</t>
  </si>
  <si>
    <t>When misinformation migrates: Cross-platform posting, YouTube and the deep vernacular web</t>
  </si>
  <si>
    <t>Why Was the Pandemic Poorly Managed by the Government of India? A State-in-Society Approach</t>
  </si>
  <si>
    <t>Corporate wrongdoing and board leadership structure: An analysis of the WestJet spying scandal</t>
  </si>
  <si>
    <t>COVID-19: Conspiracies and Collateral Damage vs Constructive Critique</t>
  </si>
  <si>
    <t>Latin American matriarchal epistemologies: Pedagogies of hope and indigenous guidance</t>
  </si>
  <si>
    <t>Socioeconomic status does not influence the presentation of patients with inguinal hernia at an urban Canadian teaching hospital</t>
  </si>
  <si>
    <t>Mis/Disinformation in/on Canada</t>
  </si>
  <si>
    <t>THE ENDOGAMY TRADITION AND THE BUSINESS PERFORMANCE OF INFORMAL OWNER-MANAGER VENTURES IN SUB-SAHARAN AFRICA</t>
  </si>
  <si>
    <t>Challenging Global Dislocation Through Local Community and Ritual</t>
  </si>
  <si>
    <t>On the Zombie Number of Various Graph Classes</t>
  </si>
  <si>
    <t>Marginal Returns? Institutional Dynamics, Peripherality, and Place-Based Development in Canada’s and Australia’s Natural Resource-Dependent Regions</t>
  </si>
  <si>
    <t>The Supreme Court of Canada: The road to authority, legitimacy and independence</t>
  </si>
  <si>
    <t>What Does the Livable City Sound Like? Analyzing Public Communication in Vancouver, Canada</t>
  </si>
  <si>
    <t>My Trajectory in Languages and Language Learning</t>
  </si>
  <si>
    <t>PLANNING FOR CLIMATE CHANGE: Wicked problem or wicked opportunity?</t>
  </si>
  <si>
    <t>Law and human rights</t>
  </si>
  <si>
    <t>What is the People’s Republic of China to Canada? Towards a rethinking of bilateral relations</t>
  </si>
  <si>
    <t>The commodification of mobile communications in Cuba: Tracking political and economic change</t>
  </si>
  <si>
    <t>The Market Lives on Death: The Endocolonizing Logic of the Fascist Moment; Rynek żywi się śmiercią: Endokolonizacyjna logika momentu faszystowskiego</t>
  </si>
  <si>
    <t>Princess Elisabeth and the Challenges of Philosophizing</t>
  </si>
  <si>
    <t>Implementation style dynamics Changing patterns of instrument choice over time?</t>
  </si>
  <si>
    <t>Jameson with Lacan</t>
  </si>
  <si>
    <t>An evolutionary path of resort governance: The case of British Columbia, Canada</t>
  </si>
  <si>
    <t>Array of services for homeless mentally ill in six canadian cities: Non-governmental organizations’ contributions and perspectives</t>
  </si>
  <si>
    <t>Tar &amp; Feathers: Agnotology, Dissent, and Queer Mormon History</t>
  </si>
  <si>
    <t>Introduction: Journal of Developing Societies’ Special Edition on Corporate Social Responsibility</t>
  </si>
  <si>
    <t>Russia’s Space Security Policy</t>
  </si>
  <si>
    <t>Diplomatic and corporate networks: Bridges to foreign locations</t>
  </si>
  <si>
    <t>Lifetime trajectories of socio-economic adversity and their associations with psychosocial factors and attitudes towards social class</t>
  </si>
  <si>
    <t>Bridge Essay: Inalienable: Human Rights and World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</si>
</sst>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xf numFmtId="0" fontId="0" fillId="0" borderId="2" xfId="0" applyBorder="1"/>
    <xf numFmtId="0" fontId="0" fillId="0" borderId="3" xfId="0" applyBorder="1"/>
    <xf numFmtId="0" fontId="2" fillId="0" borderId="0" xfId="0" applyFont="1"/>
    <xf numFmtId="0" fontId="0" fillId="0" borderId="4" xfId="0" applyBorder="1" applyAlignment="1">
      <alignment horizontal="left" indent="1"/>
    </xf>
    <xf numFmtId="0" fontId="0" fillId="0" borderId="5" xfId="0" applyBorder="1"/>
    <xf numFmtId="0" fontId="0" fillId="0" borderId="6" xfId="0" applyBorder="1" applyAlignment="1">
      <alignment horizontal="left" indent="1"/>
    </xf>
    <xf numFmtId="0" fontId="0" fillId="0" borderId="7" xfId="0" applyBorder="1"/>
    <xf numFmtId="0" fontId="0" fillId="0" borderId="8" xfId="0" applyBorder="1"/>
    <xf numFmtId="0" fontId="0" fillId="0" borderId="9" xfId="0" applyBorder="1"/>
    <xf numFmtId="0" fontId="1" fillId="0" borderId="0" xfId="0" applyFont="1"/>
  </cellXfs>
  <cellStyles count="1">
    <cellStyle name="Normal" xfId="0" builtinId="0"/>
  </cellStyles>
  <dxfs count="7">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1.xlsx" TargetMode="External"/><Relationship Id="rId1" Type="http://schemas.openxmlformats.org/officeDocument/2006/relationships/externalLinkPath" Target="query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2.xlsx" TargetMode="External"/><Relationship Id="rId1" Type="http://schemas.openxmlformats.org/officeDocument/2006/relationships/externalLinkPath" Target="query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3.xlsx" TargetMode="External"/><Relationship Id="rId1" Type="http://schemas.openxmlformats.org/officeDocument/2006/relationships/externalLinkPath" Target="query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1"/>
      <sheetName val="rio results"/>
      <sheetName val="comparison"/>
    </sheetNames>
    <sheetDataSet>
      <sheetData sheetId="0">
        <row r="2">
          <cell r="B2" t="str">
            <v>https://doi.org/10.3390/rs12020266</v>
          </cell>
        </row>
        <row r="3">
          <cell r="B3" t="str">
            <v>https://doi.org/10.1109/cvpr42600.2020.01111</v>
          </cell>
        </row>
        <row r="4">
          <cell r="B4" t="str">
            <v>https://doi.org/10.1175/jcli-d-19-1013.1</v>
          </cell>
        </row>
        <row r="5">
          <cell r="B5" t="str">
            <v>https://doi.org/10.1111/ele.13568</v>
          </cell>
        </row>
        <row r="6">
          <cell r="B6" t="str">
            <v>https://doi.org/10.1109/tgrs.2023.3258666</v>
          </cell>
        </row>
        <row r="7">
          <cell r="B7" t="str">
            <v>https://doi.org/10.1109/tii.2022.3158974</v>
          </cell>
        </row>
        <row r="8">
          <cell r="B8" t="str">
            <v>https://doi.org/10.5194/bg-17-2987-2020</v>
          </cell>
        </row>
        <row r="9">
          <cell r="B9" t="str">
            <v>https://doi.org/10.1038/s41586-023-05867-2</v>
          </cell>
        </row>
        <row r="10">
          <cell r="B10" t="str">
            <v>https://doi.org/10.1038/s41567-022-01741-6</v>
          </cell>
        </row>
        <row r="11">
          <cell r="B11" t="str">
            <v>https://doi.org/10.1109/lra.2020.3013848</v>
          </cell>
        </row>
        <row r="12">
          <cell r="B12" t="str">
            <v>https://doi.org/10.3390/ijerph17144933</v>
          </cell>
        </row>
        <row r="13">
          <cell r="B13" t="str">
            <v>https://doi.org/10.1038/s41562-020-0835-8</v>
          </cell>
        </row>
        <row r="14">
          <cell r="B14" t="str">
            <v>https://doi.org/10.1016/j.jhealeco.2021.102475</v>
          </cell>
        </row>
        <row r="15">
          <cell r="B15" t="str">
            <v>https://doi.org/10.1038/s41562-022-01363-1</v>
          </cell>
        </row>
        <row r="16">
          <cell r="B16" t="str">
            <v>https://doi.org/10.1021/acsami.9b21530</v>
          </cell>
        </row>
        <row r="17">
          <cell r="B17" t="str">
            <v>https://doi.org/10.1017/aog.2020.11</v>
          </cell>
        </row>
        <row r="18">
          <cell r="B18" t="str">
            <v>https://doi.org/10.3390/electronics11030431</v>
          </cell>
        </row>
        <row r="19">
          <cell r="B19" t="str">
            <v>https://doi.org/10.1126/sciadv.aba5847</v>
          </cell>
        </row>
        <row r="20">
          <cell r="B20" t="str">
            <v>https://doi.org/10.1109/tie.2023.3301550</v>
          </cell>
        </row>
        <row r="21">
          <cell r="B21" t="str">
            <v>https://doi.org/10.1109/tie.2022.3229375</v>
          </cell>
        </row>
        <row r="22">
          <cell r="B22" t="str">
            <v>https://doi.org/10.1109/icra48506.2021.9560748</v>
          </cell>
        </row>
        <row r="23">
          <cell r="B23" t="str">
            <v>https://doi.org/10.1371/journal.pone.0240878</v>
          </cell>
        </row>
        <row r="24">
          <cell r="B24" t="str">
            <v>https://doi.org/10.1016/j.wace.2022.100441</v>
          </cell>
        </row>
        <row r="25">
          <cell r="B25" t="str">
            <v>https://doi.org/10.1177/02783649241285161</v>
          </cell>
        </row>
        <row r="26">
          <cell r="B26" t="str">
            <v>https://doi.org/10.1109/lgrs.2023.3239263</v>
          </cell>
        </row>
        <row r="27">
          <cell r="B27" t="str">
            <v>https://doi.org/10.1080/0960085x.2019.1708821</v>
          </cell>
        </row>
        <row r="28">
          <cell r="B28" t="str">
            <v>https://doi.org/10.1016/j.ausmj.2020.07.006</v>
          </cell>
        </row>
        <row r="29">
          <cell r="B29" t="str">
            <v>https://doi.org/10.1016/j.coldregions.2021.103462</v>
          </cell>
        </row>
        <row r="30">
          <cell r="B30" t="str">
            <v>https://doi.org/10.5194/gmd-13-4183-2020</v>
          </cell>
        </row>
        <row r="31">
          <cell r="B31" t="str">
            <v>https://doi.org/10.1016/j.ensm.2021.05.011</v>
          </cell>
        </row>
        <row r="32">
          <cell r="B32" t="str">
            <v>https://doi.org/10.1016/j.rse.2023.113580</v>
          </cell>
        </row>
        <row r="33">
          <cell r="B33" t="str">
            <v>https://doi.org/10.1109/tgrs.2024.3374324</v>
          </cell>
        </row>
        <row r="34">
          <cell r="B34" t="str">
            <v>https://doi.org/10.1039/d2em00047d</v>
          </cell>
        </row>
        <row r="35">
          <cell r="B35" t="str">
            <v>https://doi.org/10.1175/jcli-d-19-0492.1</v>
          </cell>
        </row>
        <row r="36">
          <cell r="B36" t="str">
            <v>https://doi.org/10.1016/j.fuel.2022.125684</v>
          </cell>
        </row>
        <row r="37">
          <cell r="B37" t="str">
            <v>https://doi.org/10.1109/jstars.2021.3070786</v>
          </cell>
        </row>
        <row r="38">
          <cell r="B38" t="str">
            <v>https://doi.org/10.1109/tpel.2020.3006956</v>
          </cell>
        </row>
        <row r="39">
          <cell r="B39" t="str">
            <v>https://doi.org/10.1016/j.optmat.2021.111258</v>
          </cell>
        </row>
        <row r="40">
          <cell r="B40" t="str">
            <v>https://doi.org/10.3390/s20030905</v>
          </cell>
        </row>
        <row r="41">
          <cell r="B41" t="str">
            <v>https://doi.org/10.1085/jgp.202012701</v>
          </cell>
        </row>
        <row r="42">
          <cell r="B42" t="str">
            <v>https://doi.org/10.1093/mnrasl/slac109</v>
          </cell>
        </row>
        <row r="43">
          <cell r="B43" t="str">
            <v>https://doi.org/10.1038/s41561-021-00812-2</v>
          </cell>
        </row>
        <row r="44">
          <cell r="B44" t="str">
            <v>https://doi.org/10.3390/electronics11172799</v>
          </cell>
        </row>
        <row r="45">
          <cell r="B45" t="str">
            <v>https://doi.org/10.1016/j.jag.2024.103662</v>
          </cell>
        </row>
        <row r="46">
          <cell r="B46" t="str">
            <v>https://doi.org/10.1039/d0dt03313h</v>
          </cell>
        </row>
        <row r="47">
          <cell r="B47" t="str">
            <v>https://doi.org/10.1038/s41558-020-0786-0</v>
          </cell>
        </row>
        <row r="48">
          <cell r="B48" t="str">
            <v>https://doi.org/10.1007/978-3-031-19842-7_22</v>
          </cell>
        </row>
        <row r="49">
          <cell r="B49" t="str">
            <v>https://doi.org/10.1002/adma.202002534</v>
          </cell>
        </row>
        <row r="50">
          <cell r="B50" t="str">
            <v>https://doi.org/10.1016/j.asr.2020.09.002</v>
          </cell>
        </row>
        <row r="51">
          <cell r="B51" t="str">
            <v>https://doi.org/10.1029/2019gl086903</v>
          </cell>
        </row>
        <row r="52">
          <cell r="B52" t="str">
            <v>https://doi.org/10.1038/s41612-020-0123-3</v>
          </cell>
        </row>
        <row r="53">
          <cell r="B53" t="str">
            <v>https://doi.org/10.1016/j.jtbi.2022.111368</v>
          </cell>
        </row>
        <row r="54">
          <cell r="B54" t="str">
            <v>https://doi.org/10.1109/tvcg.2020.3023605</v>
          </cell>
        </row>
        <row r="55">
          <cell r="B55" t="str">
            <v>https://doi.org/10.15607/rss.2023.xix.052</v>
          </cell>
        </row>
        <row r="56">
          <cell r="B56" t="str">
            <v>https://doi.org/10.3390/rs12122053</v>
          </cell>
        </row>
        <row r="57">
          <cell r="B57" t="str">
            <v>https://doi.org/10.1016/j.isci.2021.102542</v>
          </cell>
        </row>
        <row r="58">
          <cell r="B58" t="str">
            <v>https://doi.org/10.1016/j.atmosres.2020.105308</v>
          </cell>
        </row>
        <row r="59">
          <cell r="B59" t="str">
            <v>https://doi.org/10.1021/acssensors.4c01717</v>
          </cell>
        </row>
        <row r="60">
          <cell r="B60" t="str">
            <v>https://doi.org/10.1016/j.jag.2023.103332</v>
          </cell>
        </row>
        <row r="61">
          <cell r="B61" t="str">
            <v>https://doi.org/10.3390/su132313384</v>
          </cell>
        </row>
        <row r="62">
          <cell r="B62" t="str">
            <v>https://doi.org/10.1038/s41467-021-25543-1</v>
          </cell>
        </row>
        <row r="63">
          <cell r="B63" t="str">
            <v>https://doi.org/10.3389/fphys.2020.00813</v>
          </cell>
        </row>
        <row r="64">
          <cell r="B64" t="str">
            <v>https://doi.org/10.1145/3450626.3459817</v>
          </cell>
        </row>
        <row r="65">
          <cell r="B65" t="str">
            <v>https://doi.org/10.1109/jas.2020.1003432</v>
          </cell>
        </row>
        <row r="66">
          <cell r="B66" t="str">
            <v>https://doi.org/10.1038/s41528-022-00139-x</v>
          </cell>
        </row>
        <row r="67">
          <cell r="B67" t="str">
            <v>https://doi.org/10.1016/j.carbon.2020.03.038</v>
          </cell>
        </row>
        <row r="68">
          <cell r="B68" t="str">
            <v>https://doi.org/10.1103/physrevd.105.023513</v>
          </cell>
        </row>
        <row r="69">
          <cell r="B69" t="str">
            <v>https://doi.org/10.1016/j.jbiomech.2023.111657</v>
          </cell>
        </row>
        <row r="70">
          <cell r="B70" t="str">
            <v>https://doi.org/10.1080/00031305.2020.1717621</v>
          </cell>
        </row>
        <row r="71">
          <cell r="B71" t="str">
            <v>https://doi.org/10.1109/lra.2021.3129136</v>
          </cell>
        </row>
        <row r="72">
          <cell r="B72" t="str">
            <v>https://doi.org/10.1016/j.jag.2023.103333</v>
          </cell>
        </row>
        <row r="73">
          <cell r="B73" t="str">
            <v>https://doi.org/10.1093/mnras/stac3452</v>
          </cell>
        </row>
        <row r="74">
          <cell r="B74" t="str">
            <v>https://doi.org/10.1016/j.jpowsour.2021.230446</v>
          </cell>
        </row>
        <row r="75">
          <cell r="B75" t="str">
            <v>https://doi.org/10.1093/mnras/stab988</v>
          </cell>
        </row>
        <row r="76">
          <cell r="B76" t="str">
            <v>https://doi.org/10.1109/tpel.2022.3140416</v>
          </cell>
        </row>
        <row r="77">
          <cell r="B77" t="str">
            <v>https://doi.org/10.1145/3474085.3475590</v>
          </cell>
        </row>
        <row r="78">
          <cell r="B78" t="str">
            <v>https://doi.org/10.1109/tmm.2020.2973855</v>
          </cell>
        </row>
        <row r="79">
          <cell r="B79" t="str">
            <v>https://doi.org/10.1109/lra.2023.3292004</v>
          </cell>
        </row>
        <row r="80">
          <cell r="B80" t="str">
            <v>https://doi.org/10.1109/jiot.2022.3150418</v>
          </cell>
        </row>
        <row r="81">
          <cell r="B81" t="str">
            <v>https://doi.org/10.1109/tie.2022.3153801</v>
          </cell>
        </row>
        <row r="82">
          <cell r="B82" t="str">
            <v>https://doi.org/10.1016/j.trd.2021.102724</v>
          </cell>
        </row>
        <row r="83">
          <cell r="B83" t="str">
            <v>https://doi.org/10.1016/j.engfailanal.2022.106165</v>
          </cell>
        </row>
        <row r="84">
          <cell r="B84" t="str">
            <v>https://doi.org/10.1109/jsac.2020.3018795</v>
          </cell>
        </row>
        <row r="85">
          <cell r="B85" t="str">
            <v>https://doi.org/10.1088/1367-2630/ab9fbe</v>
          </cell>
        </row>
        <row r="86">
          <cell r="B86" t="str">
            <v>https://doi.org/10.1007/s43154-022-00083-8</v>
          </cell>
        </row>
        <row r="87">
          <cell r="B87" t="str">
            <v>https://doi.org/10.1080/07055900.2021.2011103</v>
          </cell>
        </row>
        <row r="88">
          <cell r="B88" t="str">
            <v>https://doi.org/10.1038/s41396-020-00867-w</v>
          </cell>
        </row>
        <row r="89">
          <cell r="B89" t="str">
            <v>https://doi.org/10.1109/tpel.2023.3347900</v>
          </cell>
        </row>
        <row r="90">
          <cell r="B90" t="str">
            <v>https://doi.org/10.1016/j.jpowsour.2021.230431</v>
          </cell>
        </row>
        <row r="91">
          <cell r="B91" t="str">
            <v>https://doi.org/10.1109/tits.2021.3099825</v>
          </cell>
        </row>
        <row r="92">
          <cell r="B92" t="str">
            <v>https://doi.org/10.1016/j.compgeo.2020.103534</v>
          </cell>
        </row>
        <row r="93">
          <cell r="B93" t="str">
            <v>https://doi.org/10.3389/fphy.2023.1108357</v>
          </cell>
        </row>
        <row r="94">
          <cell r="B94" t="str">
            <v>https://doi.org/10.1080/02664763.2023.2272223</v>
          </cell>
        </row>
        <row r="95">
          <cell r="B95" t="str">
            <v>https://doi.org/10.1098/rsta.2020.0362</v>
          </cell>
        </row>
        <row r="96">
          <cell r="B96" t="str">
            <v>https://doi.org/10.1103/prxquantum.2.030317</v>
          </cell>
        </row>
        <row r="97">
          <cell r="B97" t="str">
            <v>https://doi.org/10.3390/rs13081472</v>
          </cell>
        </row>
        <row r="98">
          <cell r="B98" t="str">
            <v>https://doi.org/10.1016/j.engappai.2020.104089</v>
          </cell>
        </row>
        <row r="99">
          <cell r="B99" t="str">
            <v>https://doi.org/10.1109/icra48506.2021.9560790</v>
          </cell>
        </row>
        <row r="100">
          <cell r="B100" t="str">
            <v>https://doi.org/10.1016/j.enconman.2021.114805</v>
          </cell>
        </row>
        <row r="101">
          <cell r="B101" t="str">
            <v>https://doi.org/10.1175/jcli-d-19-0011.1</v>
          </cell>
        </row>
        <row r="102">
          <cell r="B102" t="str">
            <v>https://doi.org/10.1109/twc.2023.3326245</v>
          </cell>
        </row>
        <row r="103">
          <cell r="B103" t="str">
            <v>https://doi.org/10.1109/jsac.2023.3322818</v>
          </cell>
        </row>
        <row r="104">
          <cell r="B104" t="str">
            <v>https://doi.org/10.1093/mnras/stac283</v>
          </cell>
        </row>
        <row r="105">
          <cell r="B105" t="str">
            <v>https://doi.org/10.1088/1367-2630/aca25e</v>
          </cell>
        </row>
        <row r="106">
          <cell r="B106" t="str">
            <v>https://doi.org/10.1016/j.jeurceramsoc.2023.04.017</v>
          </cell>
        </row>
        <row r="107">
          <cell r="B107" t="str">
            <v>https://doi.org/10.1109/tmi.2021.3117276</v>
          </cell>
        </row>
        <row r="108">
          <cell r="B108" t="str">
            <v>https://doi.org/10.1007/s10346-020-01552-x</v>
          </cell>
        </row>
        <row r="109">
          <cell r="B109" t="str">
            <v>https://doi.org/10.1016/j.jpowsour.2023.233820</v>
          </cell>
        </row>
        <row r="110">
          <cell r="B110" t="str">
            <v>https://doi.org/10.1109/tsg.2024.3424150</v>
          </cell>
        </row>
        <row r="111">
          <cell r="B111" t="str">
            <v>https://doi.org/10.1103/physrevlett.127.208101</v>
          </cell>
        </row>
        <row r="112">
          <cell r="B112" t="str">
            <v>https://doi.org/10.3389/fphys.2020.538522</v>
          </cell>
        </row>
        <row r="113">
          <cell r="B113" t="str">
            <v>https://doi.org/10.5194/tc-16-1497-2022</v>
          </cell>
        </row>
        <row r="114">
          <cell r="B114" t="str">
            <v>https://doi.org/10.1109/icra48506.2021.9561115</v>
          </cell>
        </row>
        <row r="115">
          <cell r="B115" t="str">
            <v>https://doi.org/10.1016/j.cor.2023.106388</v>
          </cell>
        </row>
        <row r="116">
          <cell r="B116" t="str">
            <v>https://doi.org/10.1111/1758-5899.12788</v>
          </cell>
        </row>
        <row r="117">
          <cell r="B117" t="str">
            <v>https://doi.org/10.1038/s41467-023-37867-1</v>
          </cell>
        </row>
        <row r="118">
          <cell r="B118" t="str">
            <v>https://doi.org/10.1080/10255842.2022.2034794</v>
          </cell>
        </row>
        <row r="119">
          <cell r="B119" t="str">
            <v>https://doi.org/10.3389/fpubh.2020.00089</v>
          </cell>
        </row>
        <row r="120">
          <cell r="B120" t="str">
            <v>https://doi.org/10.48550/arxiv.2106.14405</v>
          </cell>
        </row>
        <row r="121">
          <cell r="B121" t="str">
            <v>https://doi.org/10.1098/rsif.2021.0036</v>
          </cell>
        </row>
        <row r="122">
          <cell r="B122" t="str">
            <v>https://doi.org/10.1109/access.2020.3035840</v>
          </cell>
        </row>
        <row r="123">
          <cell r="B123" t="str">
            <v>https://doi.org/10.1016/j.jbc.2021.100350</v>
          </cell>
        </row>
        <row r="124">
          <cell r="B124" t="str">
            <v>https://doi.org/10.1016/j.habitatint.2023.102753</v>
          </cell>
        </row>
        <row r="125">
          <cell r="B125" t="str">
            <v>https://doi.org/10.1021/acs.langmuir.0c00600</v>
          </cell>
        </row>
        <row r="126">
          <cell r="B126" t="str">
            <v>https://doi.org/10.1109/tsg.2023.3237965</v>
          </cell>
        </row>
        <row r="127">
          <cell r="B127" t="str">
            <v>https://doi.org/10.1016/j.csda.2020.107016</v>
          </cell>
        </row>
        <row r="128">
          <cell r="B128" t="str">
            <v>https://doi.org/10.1140/epjs/s11734-022-00458-0</v>
          </cell>
        </row>
        <row r="129">
          <cell r="B129" t="str">
            <v>https://doi.org/10.1016/j.energy.2021.123050</v>
          </cell>
        </row>
        <row r="130">
          <cell r="B130" t="str">
            <v>https://doi.org/10.1103/physrevd.108.063022</v>
          </cell>
        </row>
        <row r="131">
          <cell r="B131" t="str">
            <v>https://doi.org/10.1007/s10584-021-03037-9</v>
          </cell>
        </row>
        <row r="132">
          <cell r="B132" t="str">
            <v>https://doi.org/10.1103/physreve.104.024605</v>
          </cell>
        </row>
        <row r="133">
          <cell r="B133" t="str">
            <v>https://doi.org/10.3386/w27891</v>
          </cell>
        </row>
        <row r="134">
          <cell r="B134" t="str">
            <v>https://doi.org/10.1093/biostatistics/kxab032</v>
          </cell>
        </row>
        <row r="135">
          <cell r="B135" t="str">
            <v>https://doi.org/10.1109/tmc.2023.3321701</v>
          </cell>
        </row>
        <row r="136">
          <cell r="B136" t="str">
            <v>https://doi.org/10.1175/jcli-d-19-0920.1</v>
          </cell>
        </row>
        <row r="137">
          <cell r="B137" t="str">
            <v>https://doi.org/10.1016/j.eja.2024.127422</v>
          </cell>
        </row>
        <row r="138">
          <cell r="B138" t="str">
            <v>https://doi.org/10.48550/arxiv.2003.08515</v>
          </cell>
        </row>
        <row r="139">
          <cell r="B139" t="str">
            <v>https://doi.org/10.1109/tvt.2021.3085833</v>
          </cell>
        </row>
        <row r="140">
          <cell r="B140" t="str">
            <v>https://doi.org/10.1007/s00193-020-00979-4</v>
          </cell>
        </row>
        <row r="141">
          <cell r="B141" t="str">
            <v>https://doi.org/10.1016/j.stemcr.2022.03.002</v>
          </cell>
        </row>
        <row r="142">
          <cell r="B142" t="str">
            <v>https://doi.org/10.1037/per0000575</v>
          </cell>
        </row>
        <row r="143">
          <cell r="B143" t="str">
            <v>https://doi.org/10.1109/tsg.2022.3187871</v>
          </cell>
        </row>
        <row r="144">
          <cell r="B144" t="str">
            <v>https://doi.org/10.5194/gmd-14-6215-2021</v>
          </cell>
        </row>
        <row r="145">
          <cell r="B145" t="str">
            <v>https://doi.org/10.1002/sim.8922</v>
          </cell>
        </row>
        <row r="146">
          <cell r="B146" t="str">
            <v>https://doi.org/10.1093/mnras/stae1114</v>
          </cell>
        </row>
        <row r="147">
          <cell r="B147" t="str">
            <v>https://doi.org/10.1088/1751-8121/ad4c2c</v>
          </cell>
        </row>
        <row r="148">
          <cell r="B148" t="str">
            <v>https://doi.org/10.1016/j.neuropsychologia.2021.107751</v>
          </cell>
        </row>
        <row r="149">
          <cell r="B149" t="str">
            <v>https://doi.org/10.1016/j.commatsci.2021.111166</v>
          </cell>
        </row>
        <row r="150">
          <cell r="B150" t="str">
            <v>https://doi.org/10.1080/09500693.2022.2062799</v>
          </cell>
        </row>
        <row r="151">
          <cell r="B151" t="str">
            <v>https://doi.org/10.3390/rs12172752</v>
          </cell>
        </row>
        <row r="152">
          <cell r="B152" t="str">
            <v>https://doi.org/10.1109/lgrs.2024.3356422</v>
          </cell>
        </row>
        <row r="153">
          <cell r="B153" t="str">
            <v>https://doi.org/10.21227/d5fr-xa14</v>
          </cell>
        </row>
        <row r="154">
          <cell r="B154" t="str">
            <v>https://doi.org/10.1016/j.ijhydene.2023.06.164</v>
          </cell>
        </row>
        <row r="155">
          <cell r="B155" t="str">
            <v>https://doi.org/10.1186/s40658-023-00564-5</v>
          </cell>
        </row>
        <row r="156">
          <cell r="B156" t="str">
            <v>https://doi.org/10.1002/qj.4287</v>
          </cell>
        </row>
        <row r="157">
          <cell r="B157" t="str">
            <v>https://doi.org/10.1109/cvprw63382.2024.00708</v>
          </cell>
        </row>
        <row r="158">
          <cell r="B158" t="str">
            <v>https://doi.org/10.1021/acs.jpcc.9b08969</v>
          </cell>
        </row>
        <row r="159">
          <cell r="B159" t="str">
            <v>https://doi.org/10.1016/j.seta.2023.103044</v>
          </cell>
        </row>
        <row r="160">
          <cell r="B160" t="str">
            <v>https://doi.org/10.1016/j.catena.2023.107322</v>
          </cell>
        </row>
        <row r="161">
          <cell r="B161" t="str">
            <v>https://doi.org/10.1007/s11222-019-09917-6</v>
          </cell>
        </row>
        <row r="162">
          <cell r="B162" t="str">
            <v>https://doi.org/10.1109/infocom48880.2022.9796853</v>
          </cell>
        </row>
        <row r="163">
          <cell r="B163" t="str">
            <v>https://doi.org/10.1103/physreve.107.014129</v>
          </cell>
        </row>
        <row r="164">
          <cell r="B164" t="str">
            <v>https://doi.org/10.1093/biostatistics/kxab028</v>
          </cell>
        </row>
        <row r="165">
          <cell r="B165" t="str">
            <v>https://doi.org/10.1016/j.ijfatigue.2020.105697</v>
          </cell>
        </row>
        <row r="166">
          <cell r="B166" t="str">
            <v>https://doi.org/10.1029/2020gl088752</v>
          </cell>
        </row>
        <row r="167">
          <cell r="B167" t="str">
            <v>https://doi.org/10.1016/j.eswa.2024.125238</v>
          </cell>
        </row>
        <row r="168">
          <cell r="B168" t="str">
            <v>https://doi.org/10.1109/tii.2020.3007614</v>
          </cell>
        </row>
        <row r="169">
          <cell r="B169" t="str">
            <v>https://doi.org/10.1016/j.insmatheco.2021.10.005</v>
          </cell>
        </row>
        <row r="170">
          <cell r="B170" t="str">
            <v>https://doi.org/10.1016/j.nima.2020.163525</v>
          </cell>
        </row>
        <row r="171">
          <cell r="B171" t="str">
            <v>https://doi.org/10.1109/access.2020.2977050</v>
          </cell>
        </row>
        <row r="172">
          <cell r="B172" t="str">
            <v>https://doi.org/10.1085/jgp.202112923</v>
          </cell>
        </row>
        <row r="173">
          <cell r="B173" t="str">
            <v>https://doi.org/10.1016/j.tranpol.2023.01.008</v>
          </cell>
        </row>
        <row r="174">
          <cell r="B174" t="str">
            <v>https://doi.org/10.1109/msmc.2021.3136983</v>
          </cell>
        </row>
        <row r="175">
          <cell r="B175" t="str">
            <v>https://doi.org/10.1007/s00707-020-02715-6</v>
          </cell>
        </row>
        <row r="176">
          <cell r="B176" t="str">
            <v>https://doi.org/10.1103/physrevlett.128.157203</v>
          </cell>
        </row>
        <row r="177">
          <cell r="B177" t="str">
            <v>https://doi.org/10.1063/5.0072249</v>
          </cell>
        </row>
        <row r="178">
          <cell r="B178" t="str">
            <v>https://doi.org/10.1029/2020pa004075</v>
          </cell>
        </row>
        <row r="179">
          <cell r="B179" t="str">
            <v>https://doi.org/10.1126/sciadv.adi8082</v>
          </cell>
        </row>
        <row r="180">
          <cell r="B180" t="str">
            <v>https://doi.org/10.1029/2021gl094543</v>
          </cell>
        </row>
        <row r="181">
          <cell r="B181" t="str">
            <v>https://doi.org/10.1109/tase.2022.3184458</v>
          </cell>
        </row>
        <row r="182">
          <cell r="B182" t="str">
            <v>https://doi.org/10.21203/rs.3.rs-129518/v1</v>
          </cell>
        </row>
        <row r="183">
          <cell r="B183" t="str">
            <v>https://doi.org/10.1002/sim.8798</v>
          </cell>
        </row>
        <row r="184">
          <cell r="B184" t="str">
            <v>https://doi.org/10.1080/10618600.2022.2035738</v>
          </cell>
        </row>
        <row r="185">
          <cell r="B185" t="str">
            <v>https://doi.org/10.3390/nano10071422</v>
          </cell>
        </row>
        <row r="186">
          <cell r="B186" t="str">
            <v>https://doi.org/10.1109/iwqos54832.2022.9812872</v>
          </cell>
        </row>
        <row r="187">
          <cell r="B187" t="str">
            <v>https://doi.org/10.1109/tvt.2024.3360252</v>
          </cell>
        </row>
        <row r="188">
          <cell r="B188" t="str">
            <v>https://doi.org/10.1109/tccn.2024.3350596</v>
          </cell>
        </row>
        <row r="189">
          <cell r="B189" t="str">
            <v>https://doi.org/10.1115/1.4046650</v>
          </cell>
        </row>
        <row r="190">
          <cell r="B190" t="str">
            <v>https://doi.org/10.1186/s13638-020-01798-y</v>
          </cell>
        </row>
        <row r="191">
          <cell r="B191" t="str">
            <v>https://doi.org/10.1214/21-aoas1472</v>
          </cell>
        </row>
        <row r="192">
          <cell r="B192" t="str">
            <v>https://doi.org/10.1109/ted.2022.3192509</v>
          </cell>
        </row>
        <row r="193">
          <cell r="B193" t="str">
            <v>https://doi.org/10.1002/eap.2898</v>
          </cell>
        </row>
        <row r="194">
          <cell r="B194" t="str">
            <v>https://doi.org/10.12973/eu-jer.10.2.989</v>
          </cell>
        </row>
        <row r="195">
          <cell r="B195" t="str">
            <v>https://doi.org/10.1029/2021jf006504</v>
          </cell>
        </row>
        <row r="196">
          <cell r="B196" t="str">
            <v>https://doi.org/10.1007/s10584-020-02788-1</v>
          </cell>
        </row>
        <row r="197">
          <cell r="B197" t="str">
            <v>https://doi.org/10.3390/geosciences13020052</v>
          </cell>
        </row>
        <row r="198">
          <cell r="B198" t="str">
            <v>https://doi.org/10.1109/hri53351.2022.9889455</v>
          </cell>
        </row>
        <row r="199">
          <cell r="B199" t="str">
            <v>https://doi.org/10.1109/tgrs.2024.3446042</v>
          </cell>
        </row>
        <row r="200">
          <cell r="B200" t="str">
            <v>https://doi.org/10.3390/en13102591</v>
          </cell>
        </row>
        <row r="201">
          <cell r="B201" t="str">
            <v>https://doi.org/10.3390/en16176348</v>
          </cell>
        </row>
        <row r="202">
          <cell r="B202" t="str">
            <v>https://doi.org/10.1109/tie.2022.3210556</v>
          </cell>
        </row>
        <row r="203">
          <cell r="B203" t="str">
            <v>https://doi.org/10.1101/2021.10.21.21265355</v>
          </cell>
        </row>
        <row r="204">
          <cell r="B204" t="str">
            <v>https://doi.org/10.1109/jiot.2024.3367958</v>
          </cell>
        </row>
        <row r="205">
          <cell r="B205" t="str">
            <v>https://doi.org/10.3390/electronics14010120</v>
          </cell>
        </row>
        <row r="206">
          <cell r="B206" t="str">
            <v>https://doi.org/10.5194/gmd-14-239-2021</v>
          </cell>
        </row>
        <row r="207">
          <cell r="B207" t="str">
            <v>https://doi.org/10.1109/tvt.2024.3369089</v>
          </cell>
        </row>
        <row r="208">
          <cell r="B208" t="str">
            <v>https://doi.org/10.1021/acs.inorgchem.1c00152</v>
          </cell>
        </row>
        <row r="209">
          <cell r="B209" t="str">
            <v>https://doi.org/10.1007/s12665-021-09728-x</v>
          </cell>
        </row>
        <row r="210">
          <cell r="B210" t="str">
            <v>https://doi.org/10.5194/tc-16-3393-2022</v>
          </cell>
        </row>
        <row r="211">
          <cell r="B211" t="str">
            <v>https://doi.org/10.1109/icra48506.2021.9560914</v>
          </cell>
        </row>
        <row r="212">
          <cell r="B212" t="str">
            <v>https://doi.org/10.1021/acs.macromol.0c00978</v>
          </cell>
        </row>
        <row r="213">
          <cell r="B213" t="str">
            <v>https://doi.org/10.1103/physrevresearch.2.033520</v>
          </cell>
        </row>
        <row r="214">
          <cell r="B214" t="str">
            <v>https://doi.org/10.1002/cjs.11677</v>
          </cell>
        </row>
        <row r="215">
          <cell r="B215" t="str">
            <v>https://doi.org/10.1007/s00170-021-08322-6</v>
          </cell>
        </row>
        <row r="216">
          <cell r="B216" t="str">
            <v>https://doi.org/10.1016/j.tranpol.2021.12.012</v>
          </cell>
        </row>
        <row r="217">
          <cell r="B217" t="str">
            <v>https://doi.org/10.3847/1538-4357/ad4ee2</v>
          </cell>
        </row>
        <row r="218">
          <cell r="B218" t="str">
            <v>https://doi.org/10.1007/978-3-030-44051-0_34</v>
          </cell>
        </row>
        <row r="219">
          <cell r="B219" t="str">
            <v>https://doi.org/10.1145/3382507.3418820</v>
          </cell>
        </row>
        <row r="220">
          <cell r="B220" t="str">
            <v>https://doi.org/10.1109/mcg.2024.3352349</v>
          </cell>
        </row>
        <row r="221">
          <cell r="B221" t="str">
            <v>https://doi.org/10.3390/s21010225</v>
          </cell>
        </row>
        <row r="222">
          <cell r="B222" t="str">
            <v>https://doi.org/10.1109/ojcoms.2020.3038197</v>
          </cell>
        </row>
        <row r="223">
          <cell r="B223" t="str">
            <v>https://doi.org/10.1080/10618600.2020.1713797</v>
          </cell>
        </row>
        <row r="224">
          <cell r="B224" t="str">
            <v>https://doi.org/10.1088/1361-6528/ab72b6</v>
          </cell>
        </row>
        <row r="225">
          <cell r="B225" t="str">
            <v>https://doi.org/10.1109/tpel.2024.3416928</v>
          </cell>
        </row>
        <row r="226">
          <cell r="B226" t="str">
            <v>https://doi.org/10.1007/s11071-023-08787-y</v>
          </cell>
        </row>
        <row r="227">
          <cell r="B227" t="str">
            <v>https://doi.org/10.1029/2021jf006194</v>
          </cell>
        </row>
        <row r="228">
          <cell r="B228" t="str">
            <v>https://doi.org/10.5334/bc.71</v>
          </cell>
        </row>
        <row r="229">
          <cell r="B229" t="str">
            <v>https://doi.org/10.1109/tie.2023.3310008</v>
          </cell>
        </row>
        <row r="230">
          <cell r="B230" t="str">
            <v>https://doi.org/10.1103/physreve.103.022140</v>
          </cell>
        </row>
        <row r="231">
          <cell r="B231" t="str">
            <v>https://doi.org/10.1029/2021gl095500</v>
          </cell>
        </row>
        <row r="232">
          <cell r="B232" t="str">
            <v>https://doi.org/10.1093/mnras/stab840</v>
          </cell>
        </row>
        <row r="233">
          <cell r="B233" t="str">
            <v>https://doi.org/10.1007/s40121-023-00830-0</v>
          </cell>
        </row>
        <row r="234">
          <cell r="B234" t="str">
            <v>https://doi.org/10.1140/epjs/s11734-022-00608-4</v>
          </cell>
        </row>
        <row r="235">
          <cell r="B235" t="str">
            <v>https://doi.org/10.1007/s00477-022-02261-8</v>
          </cell>
        </row>
        <row r="236">
          <cell r="B236" t="str">
            <v>https://doi.org/10.1007/s42519-021-00217-9</v>
          </cell>
        </row>
        <row r="237">
          <cell r="B237" t="str">
            <v>https://doi.org/10.1007/s13253-022-00495-1</v>
          </cell>
        </row>
        <row r="238">
          <cell r="B238" t="str">
            <v>https://doi.org/10.1007/s11222-021-10066-y</v>
          </cell>
        </row>
        <row r="239">
          <cell r="B239" t="str">
            <v>https://doi.org/10.1080/01621459.2021.1990766</v>
          </cell>
        </row>
        <row r="240">
          <cell r="B240" t="str">
            <v>https://doi.org/10.1111/biom.13836</v>
          </cell>
        </row>
        <row r="241">
          <cell r="B241" t="str">
            <v>https://doi.org/10.35833/mpce.2022.000088</v>
          </cell>
        </row>
        <row r="242">
          <cell r="B242" t="str">
            <v>https://doi.org/10.1177/09622802211037070</v>
          </cell>
        </row>
        <row r="243">
          <cell r="B243" t="str">
            <v>https://doi.org/10.5194/bg-2019-492</v>
          </cell>
        </row>
        <row r="244">
          <cell r="B244" t="str">
            <v>https://doi.org/10.3847/1538-4357/ac63ab</v>
          </cell>
        </row>
        <row r="245">
          <cell r="B245" t="str">
            <v>https://doi.org/10.1080/01621459.2021.1933496</v>
          </cell>
        </row>
        <row r="246">
          <cell r="B246" t="str">
            <v>https://doi.org/10.1109/smc42975.2020.9283219</v>
          </cell>
        </row>
        <row r="247">
          <cell r="B247" t="str">
            <v>https://doi.org/10.1017/aog.2020.2</v>
          </cell>
        </row>
        <row r="248">
          <cell r="B248" t="str">
            <v>https://doi.org/10.1057/s42214-023-00177-w</v>
          </cell>
        </row>
        <row r="249">
          <cell r="B249" t="str">
            <v>https://doi.org/10.5194/nhess-24-2093-2024</v>
          </cell>
        </row>
        <row r="250">
          <cell r="B250" t="str">
            <v>https://doi.org/10.1021/acs.jpcb.1c02821</v>
          </cell>
        </row>
        <row r="251">
          <cell r="B251" t="str">
            <v>https://doi.org/10.1371/journal.pone.0259877</v>
          </cell>
        </row>
        <row r="252">
          <cell r="B252" t="str">
            <v>https://doi.org/10.1021/acs.inorgchem.2c03671</v>
          </cell>
        </row>
        <row r="253">
          <cell r="B253" t="str">
            <v>https://doi.org/10.1016/j.drugpo.2020.102726</v>
          </cell>
        </row>
        <row r="254">
          <cell r="B254" t="str">
            <v>https://doi.org/10.1145/3570361.3613296</v>
          </cell>
        </row>
        <row r="255">
          <cell r="B255" t="str">
            <v>https://doi.org/10.1109/tifs.2023.3327662</v>
          </cell>
        </row>
        <row r="256">
          <cell r="B256" t="str">
            <v>https://doi.org/10.1016/j.jedc.2022.104387</v>
          </cell>
        </row>
        <row r="257">
          <cell r="B257" t="str">
            <v>https://doi.org/10.1002/sta4.390</v>
          </cell>
        </row>
        <row r="258">
          <cell r="B258" t="str">
            <v>https://doi.org/10.48550/arxiv.2104.02009</v>
          </cell>
        </row>
        <row r="259">
          <cell r="B259" t="str">
            <v>https://doi.org/10.3982/ecta19636</v>
          </cell>
        </row>
        <row r="260">
          <cell r="B260" t="str">
            <v>https://doi.org/10.1364/oe.421008</v>
          </cell>
        </row>
        <row r="261">
          <cell r="B261" t="str">
            <v>https://doi.org/10.1007/s10708-022-10776-4</v>
          </cell>
        </row>
        <row r="262">
          <cell r="B262" t="str">
            <v>https://doi.org/10.1038/s41467-023-40795-9</v>
          </cell>
        </row>
        <row r="263">
          <cell r="B263" t="str">
            <v>https://doi.org/10.1109/tgrs.2021.3089131</v>
          </cell>
        </row>
        <row r="264">
          <cell r="B264" t="str">
            <v>https://doi.org/10.1016/j.bpj.2021.05.011</v>
          </cell>
        </row>
        <row r="265">
          <cell r="B265" t="str">
            <v>https://doi.org/10.1111/poms.13293</v>
          </cell>
        </row>
        <row r="266">
          <cell r="B266" t="str">
            <v>https://doi.org/10.1016/j.wace.2021.100388</v>
          </cell>
        </row>
        <row r="267">
          <cell r="B267" t="str">
            <v>https://doi.org/10.1101/2022.05.19.492664</v>
          </cell>
        </row>
        <row r="268">
          <cell r="B268" t="str">
            <v>https://doi.org/10.1175/jamc-d-20-0260.1</v>
          </cell>
        </row>
        <row r="269">
          <cell r="B269" t="str">
            <v>https://doi.org/10.1016/b978-0-12-819354-9.00010-7</v>
          </cell>
        </row>
        <row r="270">
          <cell r="B270" t="str">
            <v>https://doi.org/10.1002/rra.3803</v>
          </cell>
        </row>
        <row r="271">
          <cell r="B271" t="str">
            <v>https://doi.org/10.1016/j.ijmedinf.2020.104348</v>
          </cell>
        </row>
        <row r="272">
          <cell r="B272" t="str">
            <v>https://doi.org/10.1109/lgrs.2024.3354560</v>
          </cell>
        </row>
        <row r="273">
          <cell r="B273" t="str">
            <v>https://doi.org/10.1007/s10346-021-01813-3</v>
          </cell>
        </row>
        <row r="274">
          <cell r="B274" t="str">
            <v>https://doi.org/10.1002/gdj3.257</v>
          </cell>
        </row>
        <row r="275">
          <cell r="B275" t="str">
            <v>https://doi.org/10.1089/cmb.2020.0375</v>
          </cell>
        </row>
        <row r="276">
          <cell r="B276" t="str">
            <v>https://doi.org/10.1175/jcli-d-21-0176.1</v>
          </cell>
        </row>
        <row r="277">
          <cell r="B277" t="str">
            <v>https://doi.org/10.1002/cjs.11661</v>
          </cell>
        </row>
        <row r="278">
          <cell r="B278" t="str">
            <v>https://doi.org/10.1063/1.5139541</v>
          </cell>
        </row>
        <row r="279">
          <cell r="B279" t="str">
            <v>https://doi.org/10.1109/icrae53653.2021.9657767</v>
          </cell>
        </row>
        <row r="280">
          <cell r="B280" t="str">
            <v>https://doi.org/10.1145/3532106.3533538</v>
          </cell>
        </row>
        <row r="281">
          <cell r="B281" t="str">
            <v>https://doi.org/10.1101/2020.09.24.20201178</v>
          </cell>
        </row>
        <row r="282">
          <cell r="B282" t="str">
            <v>https://doi.org/10.1016/j.jeconom.2020.04.017</v>
          </cell>
        </row>
        <row r="283">
          <cell r="B283" t="str">
            <v>https://doi.org/10.1242/jeb.228221</v>
          </cell>
        </row>
        <row r="284">
          <cell r="B284" t="str">
            <v>https://doi.org/10.1175/jcli-d-22-0713.1</v>
          </cell>
        </row>
        <row r="285">
          <cell r="B285" t="str">
            <v>https://doi.org/10.1049/pel2.12321</v>
          </cell>
        </row>
        <row r="286">
          <cell r="B286" t="str">
            <v>https://doi.org/10.3389/fphys.2021.628819</v>
          </cell>
        </row>
        <row r="287">
          <cell r="B287" t="str">
            <v>https://doi.org/10.1108/heswbl-08-2020-0182</v>
          </cell>
        </row>
        <row r="288">
          <cell r="B288" t="str">
            <v>https://doi.org/10.1111/poms.13605</v>
          </cell>
        </row>
        <row r="289">
          <cell r="B289" t="str">
            <v>https://doi.org/10.1177/10468781231222969</v>
          </cell>
        </row>
        <row r="290">
          <cell r="B290" t="str">
            <v>https://doi.org/10.5194/egusphere-2023-420</v>
          </cell>
        </row>
        <row r="291">
          <cell r="B291" t="str">
            <v>https://doi.org/10.1002/cjs.11719</v>
          </cell>
        </row>
        <row r="292">
          <cell r="B292" t="str">
            <v>https://doi.org/10.1177/00220345231184181</v>
          </cell>
        </row>
        <row r="293">
          <cell r="B293" t="str">
            <v>https://doi.org/10.1007/s10857-023-09570-x</v>
          </cell>
        </row>
        <row r="294">
          <cell r="B294" t="str">
            <v>https://doi.org/10.1101/2021.03.17.21253488</v>
          </cell>
        </row>
        <row r="295">
          <cell r="B295" t="str">
            <v>https://doi.org/10.3390/s20092477</v>
          </cell>
        </row>
        <row r="296">
          <cell r="B296" t="str">
            <v>https://doi.org/10.1145/3526113.3545640</v>
          </cell>
        </row>
        <row r="297">
          <cell r="B297" t="str">
            <v>https://doi.org/10.1109/access.2020.3040986</v>
          </cell>
        </row>
        <row r="298">
          <cell r="B298" t="str">
            <v>https://doi.org/10.1016/j.ophoto.2024.100080</v>
          </cell>
        </row>
        <row r="299">
          <cell r="B299" t="str">
            <v>https://doi.org/10.1002/env.2784</v>
          </cell>
        </row>
        <row r="300">
          <cell r="B300" t="str">
            <v>https://doi.org/10.1109/ojap.2020.3035196</v>
          </cell>
        </row>
        <row r="301">
          <cell r="B301" t="str">
            <v>https://doi.org/10.1109/access.2024.3417179</v>
          </cell>
        </row>
        <row r="302">
          <cell r="B302" t="str">
            <v>https://doi.org/10.1103/physrevlett.124.252702</v>
          </cell>
        </row>
        <row r="303">
          <cell r="B303" t="str">
            <v>https://doi.org/10.1007/s10514-022-10049-6</v>
          </cell>
        </row>
        <row r="304">
          <cell r="B304" t="str">
            <v>https://doi.org/10.1002/env.2792</v>
          </cell>
        </row>
        <row r="305">
          <cell r="B305" t="str">
            <v>https://doi.org/10.1038/s41534-022-00580-w</v>
          </cell>
        </row>
        <row r="306">
          <cell r="B306" t="str">
            <v>https://doi.org/10.1098/rsif.2020.0765</v>
          </cell>
        </row>
        <row r="307">
          <cell r="B307" t="str">
            <v>https://doi.org/10.5194/bg-20-2283-2023</v>
          </cell>
        </row>
        <row r="308">
          <cell r="B308" t="str">
            <v>https://doi.org/10.3390/rs16010117</v>
          </cell>
        </row>
        <row r="309">
          <cell r="B309" t="str">
            <v>https://doi.org/10.1002/ecs2.3699</v>
          </cell>
        </row>
        <row r="310">
          <cell r="B310" t="str">
            <v>https://doi.org/10.1002/nav.21976</v>
          </cell>
        </row>
        <row r="311">
          <cell r="B311" t="str">
            <v>https://doi.org/10.1016/j.compag.2024.109726</v>
          </cell>
        </row>
        <row r="312">
          <cell r="B312" t="str">
            <v>https://doi.org/10.1140/epjc/s10052-024-13576-x</v>
          </cell>
        </row>
        <row r="313">
          <cell r="B313" t="str">
            <v>https://doi.org/10.1145/3528223.3530138</v>
          </cell>
        </row>
        <row r="314">
          <cell r="B314" t="str">
            <v>https://doi.org/10.1214/21-aoas1484</v>
          </cell>
        </row>
        <row r="315">
          <cell r="B315" t="str">
            <v>https://doi.org/10.1007/s11412-023-09396-y</v>
          </cell>
        </row>
        <row r="316">
          <cell r="B316" t="str">
            <v>https://doi.org/10.1016/j.wear.2023.205115</v>
          </cell>
        </row>
        <row r="317">
          <cell r="B317" t="str">
            <v>https://doi.org/10.1093/iwc/iwab026</v>
          </cell>
        </row>
        <row r="318">
          <cell r="B318" t="str">
            <v>https://doi.org/10.1145/3607822.3614539</v>
          </cell>
        </row>
        <row r="319">
          <cell r="B319" t="str">
            <v>https://doi.org/10.1016/j.tsep.2020.100802</v>
          </cell>
        </row>
        <row r="320">
          <cell r="B320" t="str">
            <v>https://doi.org/10.1109/jsac.2023.3345391</v>
          </cell>
        </row>
        <row r="321">
          <cell r="B321" t="str">
            <v>https://doi.org/10.1016/j.applthermaleng.2022.119467</v>
          </cell>
        </row>
        <row r="322">
          <cell r="B322" t="str">
            <v>https://doi.org/10.1007/s10729-023-09632-9</v>
          </cell>
        </row>
        <row r="323">
          <cell r="B323" t="str">
            <v>https://doi.org/10.1145/3474085.3479229</v>
          </cell>
        </row>
        <row r="324">
          <cell r="B324" t="str">
            <v>https://doi.org/10.1109/lwc.2024.3362930</v>
          </cell>
        </row>
        <row r="325">
          <cell r="B325" t="str">
            <v>https://doi.org/10.1016/j.jeconom.2022.01.011</v>
          </cell>
        </row>
        <row r="326">
          <cell r="B326" t="str">
            <v>https://doi.org/10.1109/tap.2021.3070121</v>
          </cell>
        </row>
        <row r="327">
          <cell r="B327" t="str">
            <v>https://doi.org/10.1109/icdcm60322.2024.10664829</v>
          </cell>
        </row>
        <row r="328">
          <cell r="B328" t="str">
            <v>https://doi.org/10.1177/09622802211052972</v>
          </cell>
        </row>
        <row r="329">
          <cell r="B329" t="str">
            <v>https://doi.org/10.1109/tac.2022.3140260</v>
          </cell>
        </row>
        <row r="330">
          <cell r="B330" t="str">
            <v>https://doi.org/10.1145/3613905.3650972</v>
          </cell>
        </row>
        <row r="331">
          <cell r="B331" t="str">
            <v>https://doi.org/10.1111/cgf.14113</v>
          </cell>
        </row>
        <row r="332">
          <cell r="B332" t="str">
            <v>https://doi.org/10.1109/tmm.2022.3165381</v>
          </cell>
        </row>
        <row r="333">
          <cell r="B333" t="str">
            <v>https://doi.org/10.1016/j.orhc.2021.100308</v>
          </cell>
        </row>
        <row r="334">
          <cell r="B334" t="str">
            <v>https://doi.org/10.1002/sim.9364</v>
          </cell>
        </row>
        <row r="335">
          <cell r="B335" t="str">
            <v>https://doi.org/10.1145/3658140</v>
          </cell>
        </row>
        <row r="336">
          <cell r="B336" t="str">
            <v>https://doi.org/10.1093/treephys/tpae006</v>
          </cell>
        </row>
        <row r="337">
          <cell r="B337" t="str">
            <v>https://doi.org/10.1016/j.jpowsour.2024.234855</v>
          </cell>
        </row>
        <row r="338">
          <cell r="B338" t="str">
            <v>https://doi.org/10.1086/717293</v>
          </cell>
        </row>
        <row r="339">
          <cell r="B339" t="str">
            <v>https://doi.org/10.1016/j.clinph.2021.03.015</v>
          </cell>
        </row>
        <row r="340">
          <cell r="B340" t="str">
            <v>https://doi.org/10.5194/isprs-annals-x-4-w1-2022-25-2023</v>
          </cell>
        </row>
        <row r="341">
          <cell r="B341" t="str">
            <v>https://doi.org/10.1016/c2019-0-01054-0</v>
          </cell>
        </row>
        <row r="342">
          <cell r="B342" t="str">
            <v>https://doi.org/10.1016/j.jmapro.2023.11.007</v>
          </cell>
        </row>
        <row r="343">
          <cell r="B343" t="str">
            <v>https://doi.org/10.5194/tc-16-3149-2022</v>
          </cell>
        </row>
        <row r="344">
          <cell r="B344" t="str">
            <v>https://doi.org/10.1016/j.matdes.2024.113535</v>
          </cell>
        </row>
        <row r="345">
          <cell r="B345" t="str">
            <v>https://doi.org/10.1017/jog.2023.103</v>
          </cell>
        </row>
        <row r="346">
          <cell r="B346" t="str">
            <v>https://doi.org/10.1115/1.4062548</v>
          </cell>
        </row>
        <row r="347">
          <cell r="B347" t="str">
            <v>https://doi.org/10.3389/fpls.2022.1044637</v>
          </cell>
        </row>
        <row r="348">
          <cell r="B348" t="str">
            <v>https://doi.org/10.1109/ted.2022.3208218</v>
          </cell>
        </row>
        <row r="349">
          <cell r="B349" t="str">
            <v>https://doi.org/10.1002/hyp.14536</v>
          </cell>
        </row>
        <row r="350">
          <cell r="B350" t="str">
            <v>https://doi.org/10.1515/ijb-2023-0056</v>
          </cell>
        </row>
        <row r="351">
          <cell r="B351" t="str">
            <v>https://doi.org/10.1103/physrevb.102.104110</v>
          </cell>
        </row>
        <row r="352">
          <cell r="B352" t="str">
            <v>https://doi.org/10.1109/iemcon53756.2021.9623214</v>
          </cell>
        </row>
        <row r="353">
          <cell r="B353" t="str">
            <v>https://doi.org/10.1214/22-aoas1600</v>
          </cell>
        </row>
        <row r="354">
          <cell r="B354" t="str">
            <v>https://doi.org/10.1109/jiot.2024.3393927</v>
          </cell>
        </row>
        <row r="355">
          <cell r="B355" t="str">
            <v>https://doi.org/10.1109/access.2020.2990198</v>
          </cell>
        </row>
        <row r="356">
          <cell r="B356" t="str">
            <v>https://doi.org/10.1007/s10751-020-1704-6</v>
          </cell>
        </row>
        <row r="357">
          <cell r="B357" t="str">
            <v>https://doi.org/10.1007/s00603-020-02203-2</v>
          </cell>
        </row>
        <row r="358">
          <cell r="B358" t="str">
            <v>https://doi.org/10.1016/j.chb.2024.108234</v>
          </cell>
        </row>
        <row r="359">
          <cell r="B359" t="str">
            <v>https://doi.org/10.1007/978-3-030-60319-9_15</v>
          </cell>
        </row>
        <row r="360">
          <cell r="B360" t="str">
            <v>https://doi.org/10.1109/access.2023.3322430</v>
          </cell>
        </row>
        <row r="361">
          <cell r="B361" t="str">
            <v>https://doi.org/10.1109/tcomm.2024.3418889</v>
          </cell>
        </row>
        <row r="362">
          <cell r="B362" t="str">
            <v>https://doi.org/10.1109/tsp.2024.3378376</v>
          </cell>
        </row>
        <row r="363">
          <cell r="B363" t="str">
            <v>https://doi.org/10.1109/tasc.2024.3383813</v>
          </cell>
        </row>
        <row r="364">
          <cell r="B364" t="str">
            <v>https://doi.org/10.1111/febs.16578</v>
          </cell>
        </row>
        <row r="365">
          <cell r="B365" t="str">
            <v>https://doi.org/10.1007/s11042-020-09838-x</v>
          </cell>
        </row>
        <row r="366">
          <cell r="B366" t="str">
            <v>https://doi.org/10.1109/iros51168.2021.9636410</v>
          </cell>
        </row>
        <row r="367">
          <cell r="B367" t="str">
            <v>https://doi.org/10.5194/nhess-24-2727-2024</v>
          </cell>
        </row>
        <row r="368">
          <cell r="B368" t="str">
            <v>https://doi.org/10.1136/bmjstel-2019-000576</v>
          </cell>
        </row>
        <row r="369">
          <cell r="B369" t="str">
            <v>https://doi.org/10.5281/zenodo.4663137</v>
          </cell>
        </row>
        <row r="370">
          <cell r="B370" t="str">
            <v>https://doi.org/10.1088/2634-4505/ad8fcc</v>
          </cell>
        </row>
        <row r="371">
          <cell r="B371" t="str">
            <v>https://doi.org/10.1002/esp.5942</v>
          </cell>
        </row>
        <row r="372">
          <cell r="B372" t="str">
            <v>https://doi.org/10.1111/aman.13817</v>
          </cell>
        </row>
        <row r="373">
          <cell r="B373" t="str">
            <v>https://doi.org/10.1016/j.enggeo.2020.105980</v>
          </cell>
        </row>
        <row r="374">
          <cell r="B374" t="str">
            <v>https://doi.org/10.5194/egusphere-2023-2063</v>
          </cell>
        </row>
        <row r="375">
          <cell r="B375" t="str">
            <v>https://doi.org/10.1007/978-981-15-4301-2</v>
          </cell>
        </row>
        <row r="376">
          <cell r="B376" t="str">
            <v>https://doi.org/10.1371/journal.pone.0261008</v>
          </cell>
        </row>
        <row r="377">
          <cell r="B377" t="str">
            <v>https://doi.org/10.1109/access.2022.3202925</v>
          </cell>
        </row>
        <row r="378">
          <cell r="B378" t="str">
            <v>https://doi.org/10.1080/20964471.2024.2386091</v>
          </cell>
        </row>
        <row r="379">
          <cell r="B379" t="str">
            <v>https://doi.org/10.1111/tgis.13054</v>
          </cell>
        </row>
        <row r="380">
          <cell r="B380" t="str">
            <v>https://doi.org/10.1109/ojap.2022.3228541</v>
          </cell>
        </row>
        <row r="381">
          <cell r="B381" t="str">
            <v>https://doi.org/10.3390/ijgi12080306</v>
          </cell>
        </row>
        <row r="382">
          <cell r="B382" t="str">
            <v>https://doi.org/10.1109/tvt.2024.3356532</v>
          </cell>
        </row>
        <row r="383">
          <cell r="B383" t="str">
            <v>https://doi.org/10.1103/physrevb.110.125414</v>
          </cell>
        </row>
        <row r="384">
          <cell r="B384" t="str">
            <v>https://doi.org/10.1109/tvt.2024.3447908</v>
          </cell>
        </row>
        <row r="385">
          <cell r="B385" t="str">
            <v>https://doi.org/10.1364/oe.476768</v>
          </cell>
        </row>
        <row r="386">
          <cell r="B386" t="str">
            <v>https://doi.org/10.1016/j.insmatheco.2020.01.001</v>
          </cell>
        </row>
        <row r="387">
          <cell r="B387" t="str">
            <v>https://doi.org/10.1063/5.0026591</v>
          </cell>
        </row>
        <row r="388">
          <cell r="B388" t="str">
            <v>https://doi.org/10.1109/cdc49753.2023.10383438</v>
          </cell>
        </row>
        <row r="389">
          <cell r="B389" t="str">
            <v>https://doi.org/10.1109/iros58592.2024.10802517</v>
          </cell>
        </row>
        <row r="390">
          <cell r="B390" t="str">
            <v>https://doi.org/10.1017/jog.2020.45</v>
          </cell>
        </row>
        <row r="391">
          <cell r="B391" t="str">
            <v>https://doi.org/10.1111/gean.12279</v>
          </cell>
        </row>
        <row r="392">
          <cell r="B392" t="str">
            <v>https://doi.org/10.1016/j.jsg.2022.104644</v>
          </cell>
        </row>
        <row r="393">
          <cell r="B393" t="str">
            <v>https://doi.org/10.1007/s10668-024-04485-w</v>
          </cell>
        </row>
        <row r="394">
          <cell r="B394" t="str">
            <v>https://doi.org/10.1109/lra.2021.3098332</v>
          </cell>
        </row>
        <row r="395">
          <cell r="B395" t="str">
            <v>https://doi.org/10.1038/s41598-022-15203-9</v>
          </cell>
        </row>
        <row r="396">
          <cell r="B396" t="str">
            <v>https://doi.org/10.1109/tmc.2020.2969352</v>
          </cell>
        </row>
        <row r="397">
          <cell r="B397" t="str">
            <v>https://doi.org/10.1002/nafm.10719</v>
          </cell>
        </row>
        <row r="398">
          <cell r="B398" t="str">
            <v>https://doi.org/10.3389/feart.2022.916069</v>
          </cell>
        </row>
        <row r="399">
          <cell r="B399" t="str">
            <v>https://doi.org/10.1007/s10346-024-02346-1</v>
          </cell>
        </row>
        <row r="400">
          <cell r="B400" t="str">
            <v>https://doi.org/10.1109/wsc57314.2022.10015490</v>
          </cell>
        </row>
        <row r="401">
          <cell r="B401" t="str">
            <v>https://doi.org/10.1101/2024.06.29.601123</v>
          </cell>
        </row>
        <row r="402">
          <cell r="B402" t="str">
            <v>https://doi.org/10.22541/essoar.168394747.71837050/v1</v>
          </cell>
        </row>
        <row r="403">
          <cell r="B403" t="str">
            <v>https://doi.org/10.1177/0272989x20945308</v>
          </cell>
        </row>
        <row r="404">
          <cell r="B404" t="str">
            <v>https://doi.org/10.1016/j.rsase.2024.101221</v>
          </cell>
        </row>
        <row r="405">
          <cell r="B405" t="str">
            <v>https://doi.org/10.1080/09546553.2020.1763962</v>
          </cell>
        </row>
        <row r="406">
          <cell r="B406" t="str">
            <v>https://doi.org/10.1007/s10704-023-00704-z</v>
          </cell>
        </row>
        <row r="407">
          <cell r="B407" t="str">
            <v>https://doi.org/10.1016/j.eneco.2024.107949</v>
          </cell>
        </row>
        <row r="408">
          <cell r="B408" t="str">
            <v>https://doi.org/10.1017/asb.2024.6</v>
          </cell>
        </row>
        <row r="409">
          <cell r="B409" t="str">
            <v>https://doi.org/10.1140/epjs/s11734-022-00612-8</v>
          </cell>
        </row>
        <row r="410">
          <cell r="B410" t="str">
            <v>https://doi.org/10.1177/2167702620954797</v>
          </cell>
        </row>
        <row r="411">
          <cell r="B411" t="str">
            <v>https://doi.org/10.1016/j.physd.2023.133670</v>
          </cell>
        </row>
        <row r="412">
          <cell r="B412" t="str">
            <v>https://doi.org/10.1103/physrevb.103.054201</v>
          </cell>
        </row>
        <row r="413">
          <cell r="B413" t="str">
            <v>https://doi.org/10.3390/electronics12040860</v>
          </cell>
        </row>
        <row r="414">
          <cell r="B414" t="str">
            <v>https://doi.org/10.1016/j.sna.2023.114728</v>
          </cell>
        </row>
        <row r="415">
          <cell r="B415" t="str">
            <v>https://doi.org/10.1109/lcomm.2023.3315010</v>
          </cell>
        </row>
        <row r="416">
          <cell r="B416" t="str">
            <v>https://doi.org/10.21203/rs.3.rs-1146923/v3</v>
          </cell>
        </row>
        <row r="417">
          <cell r="B417" t="str">
            <v>https://doi.org/10.3390/s22186866</v>
          </cell>
        </row>
        <row r="418">
          <cell r="B418" t="str">
            <v>https://doi.org/10.1101/2021.01.12.21249707</v>
          </cell>
        </row>
        <row r="419">
          <cell r="B419" t="str">
            <v>https://doi.org/10.1002/pst.2005</v>
          </cell>
        </row>
        <row r="420">
          <cell r="B420" t="str">
            <v>https://doi.org/10.1103/physrevresearch.6.033055</v>
          </cell>
        </row>
        <row r="421">
          <cell r="B421" t="str">
            <v>https://doi.org/10.2514/6.2022-2048</v>
          </cell>
        </row>
        <row r="422">
          <cell r="B422" t="str">
            <v>https://doi.org/10.1093/icesjms/fsae009</v>
          </cell>
        </row>
        <row r="423">
          <cell r="B423" t="str">
            <v>https://doi.org/10.1109/jsac.2024.3414627</v>
          </cell>
        </row>
        <row r="424">
          <cell r="B424" t="str">
            <v>https://doi.org/10.5194/egusphere-egu21-8471</v>
          </cell>
        </row>
        <row r="425">
          <cell r="B425" t="str">
            <v>https://doi.org/10.1029/2023wr035983</v>
          </cell>
        </row>
        <row r="426">
          <cell r="B426" t="str">
            <v>https://doi.org/10.1086/712919</v>
          </cell>
        </row>
        <row r="427">
          <cell r="B427" t="str">
            <v>https://doi.org/10.1037/pas0000938</v>
          </cell>
        </row>
        <row r="428">
          <cell r="B428" t="str">
            <v>https://doi.org/10.1103/physrevb.108.245130</v>
          </cell>
        </row>
        <row r="429">
          <cell r="B429" t="str">
            <v>https://doi.org/10.2139/ssrn.3584895</v>
          </cell>
        </row>
        <row r="430">
          <cell r="B430" t="str">
            <v>https://doi.org/10.5194/nhess-24-1779-2024</v>
          </cell>
        </row>
        <row r="431">
          <cell r="B431" t="str">
            <v>https://doi.org/10.5194/bg-2022-168</v>
          </cell>
        </row>
        <row r="432">
          <cell r="B432" t="str">
            <v>https://doi.org/10.1002/rob.22332</v>
          </cell>
        </row>
        <row r="433">
          <cell r="B433" t="str">
            <v>https://doi.org/10.3390/rs15153702</v>
          </cell>
        </row>
        <row r="434">
          <cell r="B434" t="str">
            <v>https://doi.org/10.23919/eucap48036.2020.9135989</v>
          </cell>
        </row>
        <row r="435">
          <cell r="B435" t="str">
            <v>https://doi.org/10.1016/j.ifacol.2020.12.2286</v>
          </cell>
        </row>
        <row r="436">
          <cell r="B436" t="str">
            <v>https://doi.org/10.2139/ssrn.4306904</v>
          </cell>
        </row>
        <row r="437">
          <cell r="B437" t="str">
            <v>https://doi.org/10.1101/2021.08.10.21261872</v>
          </cell>
        </row>
        <row r="438">
          <cell r="B438" t="str">
            <v>https://doi.org/10.1145/3382507.3421156</v>
          </cell>
        </row>
        <row r="439">
          <cell r="B439" t="str">
            <v>https://doi.org/10.1609/icaps.v34i1.31520</v>
          </cell>
        </row>
        <row r="440">
          <cell r="B440" t="str">
            <v>https://doi.org/10.1115/jrc2022-78005</v>
          </cell>
        </row>
        <row r="441">
          <cell r="B441" t="str">
            <v>https://doi.org/10.1016/j.ijresmar.2021.11.001</v>
          </cell>
        </row>
        <row r="442">
          <cell r="B442" t="str">
            <v>https://doi.org/10.23919/ursigass49373.2020.9232031</v>
          </cell>
        </row>
        <row r="443">
          <cell r="B443" t="str">
            <v>https://doi.org/10.1364/boe.528579</v>
          </cell>
        </row>
        <row r="444">
          <cell r="B444" t="str">
            <v>https://doi.org/10.1016/j.nimb.2022.11.006</v>
          </cell>
        </row>
        <row r="445">
          <cell r="B445" t="str">
            <v>https://doi.org/10.1007/s12220-023-01282-1</v>
          </cell>
        </row>
        <row r="446">
          <cell r="B446" t="str">
            <v>https://doi.org/10.1103/physreva.104.012619</v>
          </cell>
        </row>
        <row r="447">
          <cell r="B447" t="str">
            <v>https://doi.org/10.1002/aisy.202100003</v>
          </cell>
        </row>
        <row r="448">
          <cell r="B448" t="str">
            <v>https://doi.org/10.1007/s11222-022-10117-y</v>
          </cell>
        </row>
        <row r="449">
          <cell r="B449" t="str">
            <v>https://doi.org/10.2139/ssrn.4344952</v>
          </cell>
        </row>
        <row r="450">
          <cell r="B450" t="str">
            <v>https://doi.org/10.1109/icc40277.2020.9148995</v>
          </cell>
        </row>
        <row r="451">
          <cell r="B451" t="str">
            <v>https://doi.org/10.1049/cds2.12001</v>
          </cell>
        </row>
        <row r="452">
          <cell r="B452" t="str">
            <v>https://doi.org/10.1109/lwc.2024.3432157</v>
          </cell>
        </row>
        <row r="453">
          <cell r="B453" t="str">
            <v>https://doi.org/10.1080/10618600.2023.2233581</v>
          </cell>
        </row>
        <row r="454">
          <cell r="B454" t="str">
            <v>https://doi.org/10.1093/ectj/utab025</v>
          </cell>
        </row>
        <row r="455">
          <cell r="B455" t="str">
            <v>https://doi.org/10.1002/sim.9433</v>
          </cell>
        </row>
        <row r="456">
          <cell r="B456" t="str">
            <v>https://doi.org/10.3390/qubs8020015</v>
          </cell>
        </row>
        <row r="457">
          <cell r="B457" t="str">
            <v>https://doi.org/10.1109/tap.2021.3076194</v>
          </cell>
        </row>
        <row r="458">
          <cell r="B458" t="str">
            <v>https://doi.org/10.1016/j.csda.2024.107977</v>
          </cell>
        </row>
        <row r="459">
          <cell r="B459" t="str">
            <v>https://doi.org/10.1101/2020.02.10.942367</v>
          </cell>
        </row>
        <row r="460">
          <cell r="B460" t="str">
            <v>https://doi.org/10.1109/twc.2024.3483658</v>
          </cell>
        </row>
        <row r="461">
          <cell r="B461" t="str">
            <v>https://doi.org/10.4204/eptcs.394.17</v>
          </cell>
        </row>
        <row r="462">
          <cell r="B462" t="str">
            <v>https://doi.org/10.5194/gmd-2020-176</v>
          </cell>
        </row>
        <row r="463">
          <cell r="B463" t="str">
            <v>https://doi.org/10.1086/728599</v>
          </cell>
        </row>
        <row r="464">
          <cell r="B464" t="str">
            <v>https://doi.org/10.1101/2023.09.28.560053</v>
          </cell>
        </row>
        <row r="465">
          <cell r="B465" t="str">
            <v>https://doi.org/10.34133/space.0103</v>
          </cell>
        </row>
        <row r="466">
          <cell r="B466" t="str">
            <v>https://doi.org/10.1002/rob.22396</v>
          </cell>
        </row>
        <row r="467">
          <cell r="B467" t="str">
            <v>https://doi.org/10.1139/cjfas-2023-0088</v>
          </cell>
        </row>
        <row r="468">
          <cell r="B468" t="str">
            <v>https://doi.org/10.1115/gt2022-82683</v>
          </cell>
        </row>
        <row r="469">
          <cell r="B469" t="str">
            <v>https://doi.org/10.1093/sysbio/syac059</v>
          </cell>
        </row>
        <row r="470">
          <cell r="B470" t="str">
            <v>https://doi.org/10.1109/jiot.2024.3429517</v>
          </cell>
        </row>
        <row r="471">
          <cell r="B471" t="str">
            <v>https://doi.org/10.3390/molecules29051033</v>
          </cell>
        </row>
        <row r="472">
          <cell r="B472" t="str">
            <v>https://doi.org/10.1016/j.ecolmodel.2021.109798</v>
          </cell>
        </row>
        <row r="473">
          <cell r="B473" t="str">
            <v>https://doi.org/10.1016/j.bspc.2021.103124</v>
          </cell>
        </row>
        <row r="474">
          <cell r="B474" t="str">
            <v>https://doi.org/10.3389/fpsyg.2022.767446</v>
          </cell>
        </row>
        <row r="475">
          <cell r="B475" t="str">
            <v>https://doi.org/10.1039/d1cp04575j</v>
          </cell>
        </row>
        <row r="476">
          <cell r="B476" t="str">
            <v>https://doi.org/10.1109/jiot.2020.2986352</v>
          </cell>
        </row>
        <row r="477">
          <cell r="B477" t="str">
            <v>https://doi.org/10.1016/j.neunet.2024.106761</v>
          </cell>
        </row>
        <row r="478">
          <cell r="B478" t="str">
            <v>https://doi.org/10.3389/fphar.2022.976903</v>
          </cell>
        </row>
        <row r="479">
          <cell r="B479" t="str">
            <v>https://doi.org/10.1145/3663548.3675614</v>
          </cell>
        </row>
        <row r="480">
          <cell r="B480" t="str">
            <v>https://doi.org/10.1007/978-3-030-67973-6_6</v>
          </cell>
        </row>
        <row r="481">
          <cell r="B481" t="str">
            <v>https://doi.org/10.1109/lgrs.2021.3084932</v>
          </cell>
        </row>
        <row r="482">
          <cell r="B482" t="str">
            <v>https://doi.org/10.48550/arxiv.2103.07013</v>
          </cell>
        </row>
        <row r="483">
          <cell r="B483" t="str">
            <v>https://doi.org/10.1016/j.chiabu.2023.106578</v>
          </cell>
        </row>
        <row r="484">
          <cell r="B484" t="str">
            <v>https://doi.org/10.48550/arxiv.2202.02923</v>
          </cell>
        </row>
        <row r="485">
          <cell r="B485" t="str">
            <v>https://doi.org/10.1109/iemcon51383.2020.9284852</v>
          </cell>
        </row>
        <row r="486">
          <cell r="B486" t="str">
            <v>https://doi.org/10.31223/x57p8h</v>
          </cell>
        </row>
        <row r="487">
          <cell r="B487" t="str">
            <v>https://doi.org/10.1007/s11251-022-09614-4</v>
          </cell>
        </row>
        <row r="488">
          <cell r="B488" t="str">
            <v>https://doi.org/10.5194/egusphere-egu21-16591</v>
          </cell>
        </row>
        <row r="489">
          <cell r="B489" t="str">
            <v>https://doi.org/10.1177/09544119231207653</v>
          </cell>
        </row>
        <row r="490">
          <cell r="B490" t="str">
            <v>https://doi.org/10.1080/14763141.2021.1951828</v>
          </cell>
        </row>
        <row r="491">
          <cell r="B491" t="str">
            <v>https://doi.org/10.1371/journal.pone.0257005</v>
          </cell>
        </row>
        <row r="492">
          <cell r="B492" t="str">
            <v>https://doi.org/10.3390/rs13224671</v>
          </cell>
        </row>
        <row r="493">
          <cell r="B493" t="str">
            <v>https://doi.org/10.1002/adma.202170148</v>
          </cell>
        </row>
        <row r="494">
          <cell r="B494" t="str">
            <v>https://doi.org/10.1109/isbi48211.2021.9433782</v>
          </cell>
        </row>
        <row r="495">
          <cell r="B495" t="str">
            <v>https://doi.org/10.3390/s24092796</v>
          </cell>
        </row>
        <row r="496">
          <cell r="B496" t="str">
            <v>https://doi.org/10.1145/3458305.3459594</v>
          </cell>
        </row>
        <row r="497">
          <cell r="B497" t="str">
            <v>https://doi.org/10.1016/j.rsase.2024.101390</v>
          </cell>
        </row>
        <row r="498">
          <cell r="B498" t="str">
            <v>https://doi.org/10.1109/whispers65427.2024.10876533</v>
          </cell>
        </row>
        <row r="499">
          <cell r="B499" t="str">
            <v>https://doi.org/10.35467/sdq/190799</v>
          </cell>
        </row>
        <row r="500">
          <cell r="B500" t="str">
            <v>https://doi.org/10.5194/egusphere-2024-1031</v>
          </cell>
        </row>
        <row r="501">
          <cell r="B501" t="str">
            <v>https://doi.org/10.48550/arxiv.2312.03179</v>
          </cell>
        </row>
        <row r="502">
          <cell r="B502" t="str">
            <v>https://doi.org/10.1113/jp279699</v>
          </cell>
        </row>
        <row r="503">
          <cell r="B503" t="str">
            <v>https://doi.org/10.1103/physrevb.101.235442</v>
          </cell>
        </row>
        <row r="504">
          <cell r="B504" t="str">
            <v>https://doi.org/10.1103/physrevb.109.224421</v>
          </cell>
        </row>
        <row r="505">
          <cell r="B505" t="str">
            <v>https://doi.org/10.1021/acs.jpcb.2c01632</v>
          </cell>
        </row>
        <row r="506">
          <cell r="B506" t="str">
            <v>https://doi.org/10.21105/joss.06537</v>
          </cell>
        </row>
        <row r="507">
          <cell r="B507" t="str">
            <v>https://doi.org/10.3390/e22030312</v>
          </cell>
        </row>
        <row r="508">
          <cell r="B508" t="str">
            <v>https://doi.org/10.1109/ieeeconf35879.2020.9330310</v>
          </cell>
        </row>
        <row r="509">
          <cell r="B509" t="str">
            <v>https://doi.org/10.1007/978-3-031-05936-0_21</v>
          </cell>
        </row>
        <row r="510">
          <cell r="B510" t="str">
            <v>https://doi.org/10.1103/physrevb.106.085123</v>
          </cell>
        </row>
        <row r="511">
          <cell r="B511" t="str">
            <v>https://doi.org/10.23919/iccas52745.2021.9649799</v>
          </cell>
        </row>
        <row r="512">
          <cell r="B512" t="str">
            <v>https://doi.org/10.1017/psrm.2022.51</v>
          </cell>
        </row>
        <row r="513">
          <cell r="B513" t="str">
            <v>https://doi.org/10.1109/iecon43393.2020.9254418</v>
          </cell>
        </row>
        <row r="514">
          <cell r="B514" t="str">
            <v>https://doi.org/10.1111/evo.14625</v>
          </cell>
        </row>
        <row r="515">
          <cell r="B515" t="str">
            <v>https://doi.org/10.1109/jsyst.2020.3010791</v>
          </cell>
        </row>
        <row r="516">
          <cell r="B516" t="str">
            <v>https://doi.org/10.1109/syscon61195.2024.10553419</v>
          </cell>
        </row>
        <row r="517">
          <cell r="B517" t="str">
            <v>https://doi.org/10.1103/physrevb.104.155406</v>
          </cell>
        </row>
        <row r="518">
          <cell r="B518" t="str">
            <v>https://doi.org/10.1039/d3nr02742b</v>
          </cell>
        </row>
        <row r="519">
          <cell r="B519" t="str">
            <v>https://doi.org/10.1111/rssc.12572</v>
          </cell>
        </row>
        <row r="520">
          <cell r="B520" t="str">
            <v>https://doi.org/10.1103/physreve.101.042603</v>
          </cell>
        </row>
        <row r="521">
          <cell r="B521" t="str">
            <v>https://doi.org/10.1109/ojcoms.2021.3129218</v>
          </cell>
        </row>
        <row r="522">
          <cell r="B522" t="str">
            <v>https://doi.org/10.1109/dsd57027.2022.00017</v>
          </cell>
        </row>
        <row r="523">
          <cell r="B523" t="str">
            <v>https://doi.org/10.1145/3550296</v>
          </cell>
        </row>
        <row r="524">
          <cell r="B524" t="str">
            <v>https://doi.org/10.2514/1.j060718</v>
          </cell>
        </row>
        <row r="525">
          <cell r="B525" t="str">
            <v>https://doi.org/10.21203/rs.3.rs-1146923/v2</v>
          </cell>
        </row>
        <row r="526">
          <cell r="B526" t="str">
            <v>https://doi.org/10.1139/cjfas-2020-0096</v>
          </cell>
        </row>
        <row r="527">
          <cell r="B527" t="str">
            <v>https://doi.org/10.1109/iros58592.2024.10802731</v>
          </cell>
        </row>
        <row r="528">
          <cell r="B528" t="str">
            <v>https://doi.org/10.1080/10618600.2024.2335182</v>
          </cell>
        </row>
        <row r="529">
          <cell r="B529" t="str">
            <v>https://doi.org/10.1002/cjs.11747</v>
          </cell>
        </row>
        <row r="530">
          <cell r="B530" t="str">
            <v>https://doi.org/10.1016/j.csda.2022.107483</v>
          </cell>
        </row>
        <row r="531">
          <cell r="B531" t="str">
            <v>https://doi.org/10.1093/mnras/stae2243</v>
          </cell>
        </row>
        <row r="532">
          <cell r="B532" t="str">
            <v>https://doi.org/10.1007/s11222-023-10342-z</v>
          </cell>
        </row>
        <row r="533">
          <cell r="B533" t="str">
            <v>https://doi.org/10.1002/bimj.202300398</v>
          </cell>
        </row>
        <row r="534">
          <cell r="B534" t="str">
            <v>https://doi.org/10.1115/es2024-124369</v>
          </cell>
        </row>
        <row r="535">
          <cell r="B535" t="str">
            <v>https://doi.org/10.21203/rs.3.rs-779080/v1</v>
          </cell>
        </row>
        <row r="536">
          <cell r="B536" t="str">
            <v>https://doi.org/10.1101/2024.07.11.603095</v>
          </cell>
        </row>
        <row r="537">
          <cell r="B537" t="str">
            <v>https://doi.org/10.1109/fpl64840.2024.00018</v>
          </cell>
        </row>
        <row r="538">
          <cell r="B538" t="str">
            <v>https://doi.org/10.1101/2021.12.18.21268002</v>
          </cell>
        </row>
        <row r="539">
          <cell r="B539" t="str">
            <v>https://doi.org/10.1109/jstsp.2024.3516382</v>
          </cell>
        </row>
        <row r="540">
          <cell r="B540" t="str">
            <v>https://doi.org/10.5194/egusphere-egu21-6821</v>
          </cell>
        </row>
        <row r="541">
          <cell r="B541" t="str">
            <v>https://doi.org/10.36227/techrxiv.13150805.v1</v>
          </cell>
        </row>
        <row r="542">
          <cell r="B542" t="str">
            <v>https://doi.org/10.33140/eesrr.05.03.05</v>
          </cell>
        </row>
        <row r="543">
          <cell r="B543" t="str">
            <v>https://doi.org/10.1145/3586183.3606746</v>
          </cell>
        </row>
        <row r="544">
          <cell r="B544" t="str">
            <v>https://doi.org/10.1155/2023/5532174</v>
          </cell>
        </row>
        <row r="545">
          <cell r="B545" t="str">
            <v>https://doi.org/10.3390/rs15102583</v>
          </cell>
        </row>
        <row r="546">
          <cell r="B546" t="str">
            <v>https://doi.org/10.48550/arxiv.2012.04011</v>
          </cell>
        </row>
        <row r="547">
          <cell r="B547" t="str">
            <v>https://doi.org/10.5194/egusphere-egu21-154</v>
          </cell>
        </row>
        <row r="548">
          <cell r="B548" t="str">
            <v>https://doi.org/10.1109/iros58592.2024.10802740</v>
          </cell>
        </row>
        <row r="549">
          <cell r="B549" t="str">
            <v>https://doi.org/10.1109/wsc52266.2021.9715328</v>
          </cell>
        </row>
        <row r="550">
          <cell r="B550" t="str">
            <v>https://doi.org/10.1080/07350015.2021.2019046</v>
          </cell>
        </row>
        <row r="551">
          <cell r="B551" t="str">
            <v>https://doi.org/10.1016/j.nima.2024.169729</v>
          </cell>
        </row>
        <row r="552">
          <cell r="B552" t="str">
            <v>https://doi.org/10.1080/08982112.2020.1814959</v>
          </cell>
        </row>
        <row r="553">
          <cell r="B553" t="str">
            <v>https://doi.org/10.1111/jcal.12637</v>
          </cell>
        </row>
        <row r="554">
          <cell r="B554" t="str">
            <v>https://doi.org/10.1086/726934</v>
          </cell>
        </row>
        <row r="555">
          <cell r="B555" t="str">
            <v>https://doi.org/10.5194/isprs-archives-xliii-b4-2020-791-2020</v>
          </cell>
        </row>
        <row r="556">
          <cell r="B556" t="str">
            <v>https://doi.org/10.2172/1958791</v>
          </cell>
        </row>
        <row r="557">
          <cell r="B557" t="str">
            <v>https://doi.org/10.5194/egusphere-2024-871</v>
          </cell>
        </row>
        <row r="558">
          <cell r="B558" t="str">
            <v>https://doi.org/10.2139/ssrn.4255724</v>
          </cell>
        </row>
        <row r="559">
          <cell r="B559" t="str">
            <v>https://doi.org/10.1609/aaai.v38i21.30388</v>
          </cell>
        </row>
        <row r="560">
          <cell r="B560" t="str">
            <v>https://doi.org/10.1109/igarss47720.2021.9554051</v>
          </cell>
        </row>
        <row r="561">
          <cell r="B561" t="str">
            <v>https://doi.org/10.1007/s41748-024-00437-6</v>
          </cell>
        </row>
        <row r="562">
          <cell r="B562" t="str">
            <v>https://doi.org/10.3389/fhumd.2022.670647</v>
          </cell>
        </row>
        <row r="563">
          <cell r="B563" t="str">
            <v>https://doi.org/10.1007/698_2021_815</v>
          </cell>
        </row>
        <row r="564">
          <cell r="B564" t="str">
            <v>https://doi.org/10.1109/jflex.2023.3237991</v>
          </cell>
        </row>
        <row r="565">
          <cell r="B565" t="str">
            <v>https://doi.org/10.1920/wp.cem.2020.1720</v>
          </cell>
        </row>
        <row r="566">
          <cell r="B566" t="str">
            <v>https://doi.org/10.1115/1.4064436</v>
          </cell>
        </row>
        <row r="567">
          <cell r="B567" t="str">
            <v>https://doi.org/10.1109/wimob61911.2024.10770394</v>
          </cell>
        </row>
        <row r="568">
          <cell r="B568" t="str">
            <v>https://doi.org/10.1007/978-3-031-51244-5_20</v>
          </cell>
        </row>
        <row r="569">
          <cell r="B569" t="str">
            <v>https://doi.org/10.1109/ieeeconf35879.2020.9329708</v>
          </cell>
        </row>
        <row r="570">
          <cell r="B570" t="str">
            <v>https://doi.org/10.1109/fpl53798.2021.00070</v>
          </cell>
        </row>
        <row r="571">
          <cell r="B571" t="str">
            <v>https://doi.org/10.1109/icc51166.2024.10622971</v>
          </cell>
        </row>
        <row r="572">
          <cell r="B572" t="str">
            <v>https://doi.org/10.1021/acs.macromol.4c01217</v>
          </cell>
        </row>
        <row r="573">
          <cell r="B573" t="str">
            <v>https://doi.org/10.1109/access.2021.3131481</v>
          </cell>
        </row>
        <row r="574">
          <cell r="B574" t="str">
            <v>https://doi.org/10.23919/epe21ecceeurope50061.2021.9570511</v>
          </cell>
        </row>
        <row r="575">
          <cell r="B575" t="str">
            <v>https://doi.org/10.1109/tap.2020.2998431</v>
          </cell>
        </row>
        <row r="576">
          <cell r="B576" t="str">
            <v>https://doi.org/10.1109/access.2023.3304245</v>
          </cell>
        </row>
        <row r="577">
          <cell r="B577" t="str">
            <v>https://doi.org/10.1007/s00180-023-01340-w</v>
          </cell>
        </row>
        <row r="578">
          <cell r="B578" t="str">
            <v>https://doi.org/10.18485/aeletters.2021.6.4.1</v>
          </cell>
        </row>
        <row r="579">
          <cell r="B579" t="str">
            <v>https://doi.org/10.3390/risks10030054</v>
          </cell>
        </row>
        <row r="580">
          <cell r="B580" t="str">
            <v>https://doi.org/10.1049/icp.2021.2555</v>
          </cell>
        </row>
        <row r="581">
          <cell r="B581" t="str">
            <v>https://doi.org/10.1109/infocomwkshps61880.2024.10620863</v>
          </cell>
        </row>
        <row r="582">
          <cell r="B582" t="str">
            <v>https://doi.org/10.1101/2024.02.13.580021</v>
          </cell>
        </row>
        <row r="583">
          <cell r="B583" t="str">
            <v>https://doi.org/10.1109/wsc60868.2023.10408073</v>
          </cell>
        </row>
        <row r="584">
          <cell r="B584" t="str">
            <v>https://doi.org/10.5465/ambpp.2020.12925abstract</v>
          </cell>
        </row>
        <row r="585">
          <cell r="B585" t="str">
            <v>https://doi.org/10.1109/tpel.2024.3496993</v>
          </cell>
        </row>
        <row r="586">
          <cell r="B586" t="str">
            <v>https://doi.org/10.1007/s00285-023-02016-1</v>
          </cell>
        </row>
        <row r="587">
          <cell r="B587" t="str">
            <v>https://doi.org/10.1109/tvt.2023.3336891</v>
          </cell>
        </row>
        <row r="588">
          <cell r="B588" t="str">
            <v>https://doi.org/10.1080/02664763.2021.1981256</v>
          </cell>
        </row>
        <row r="589">
          <cell r="B589" t="str">
            <v>https://doi.org/10.1088/1361-6471/ab6ee1</v>
          </cell>
        </row>
        <row r="590">
          <cell r="B590" t="str">
            <v>https://doi.org/10.1109/iwqos57198.2023.10188781</v>
          </cell>
        </row>
        <row r="591">
          <cell r="B591" t="str">
            <v>https://doi.org/10.1007/s10985-021-09520-w</v>
          </cell>
        </row>
        <row r="592">
          <cell r="B592" t="str">
            <v>https://doi.org/10.1109/tbc.2024.3434731</v>
          </cell>
        </row>
        <row r="593">
          <cell r="B593" t="str">
            <v>https://doi.org/10.1109/cgo57630.2024.10444805</v>
          </cell>
        </row>
        <row r="594">
          <cell r="B594" t="str">
            <v>https://doi.org/10.48550/arxiv.2104.03446</v>
          </cell>
        </row>
        <row r="595">
          <cell r="B595" t="str">
            <v>https://doi.org/10.5194/gmd-2019-373</v>
          </cell>
        </row>
        <row r="596">
          <cell r="B596" t="str">
            <v>https://doi.org/10.3390/plants13182566</v>
          </cell>
        </row>
        <row r="597">
          <cell r="B597" t="str">
            <v>https://doi.org/10.1101/2022.11.08.515702</v>
          </cell>
        </row>
        <row r="598">
          <cell r="B598" t="str">
            <v>https://doi.org/10.1101/2020.06.14.150854</v>
          </cell>
        </row>
        <row r="599">
          <cell r="B599" t="str">
            <v>https://doi.org/10.1109/tsp.2024.3484908</v>
          </cell>
        </row>
        <row r="600">
          <cell r="B600" t="str">
            <v>https://doi.org/10.1101/2020.06.05.118836</v>
          </cell>
        </row>
        <row r="601">
          <cell r="B601" t="str">
            <v>https://doi.org/10.1371/journal.pone.0259511</v>
          </cell>
        </row>
        <row r="602">
          <cell r="B602" t="str">
            <v>https://doi.org/10.32920/14641158</v>
          </cell>
        </row>
        <row r="603">
          <cell r="B603" t="str">
            <v>https://doi.org/10.1109/tgrs.2024.3391790</v>
          </cell>
        </row>
        <row r="604">
          <cell r="B604" t="str">
            <v>https://doi.org/10.3389/fenvs.2024.1439573</v>
          </cell>
        </row>
        <row r="605">
          <cell r="B605" t="str">
            <v>https://doi.org/10.1109/iwcmc61514.2024.10592460</v>
          </cell>
        </row>
        <row r="606">
          <cell r="B606" t="str">
            <v>https://doi.org/10.1007/978-3-031-26889-2_19</v>
          </cell>
        </row>
        <row r="607">
          <cell r="B607" t="str">
            <v>https://doi.org/10.1007/978-3-030-78642-7_50</v>
          </cell>
        </row>
        <row r="608">
          <cell r="B608" t="str">
            <v>https://doi.org/10.5281/zenodo.6499208</v>
          </cell>
        </row>
        <row r="609">
          <cell r="B609" t="str">
            <v>https://doi.org/10.1101/2021.09.11.459915</v>
          </cell>
        </row>
        <row r="610">
          <cell r="B610" t="str">
            <v>https://doi.org/10.1016/j.scitotenv.2022.157685</v>
          </cell>
        </row>
        <row r="611">
          <cell r="B611" t="str">
            <v>https://doi.org/10.36227/techrxiv.13150805.v3</v>
          </cell>
        </row>
        <row r="612">
          <cell r="B612" t="str">
            <v>https://doi.org/10.2139/ssrn.4393415</v>
          </cell>
        </row>
        <row r="613">
          <cell r="B613" t="str">
            <v>https://doi.org/10.1080/01495933.2023.2263334</v>
          </cell>
        </row>
        <row r="614">
          <cell r="B614" t="str">
            <v>https://doi.org/10.3389/feart.2022.1129733</v>
          </cell>
        </row>
        <row r="615">
          <cell r="B615" t="str">
            <v>https://doi.org/10.1201/9781003308867-35</v>
          </cell>
        </row>
        <row r="616">
          <cell r="B616" t="str">
            <v>https://doi.org/10.1109/tccn.2024.3487139</v>
          </cell>
        </row>
        <row r="617">
          <cell r="B617" t="str">
            <v>https://doi.org/10.1109/msn53354.2021.00099</v>
          </cell>
        </row>
        <row r="618">
          <cell r="B618" t="str">
            <v>https://doi.org/10.2139/ssrn.3634775</v>
          </cell>
        </row>
        <row r="619">
          <cell r="B619" t="str">
            <v>https://doi.org/10.2139/ssrn.3781858</v>
          </cell>
        </row>
        <row r="620">
          <cell r="B620" t="str">
            <v>https://doi.org/10.1007/978-3-031-06791-4_23</v>
          </cell>
        </row>
        <row r="621">
          <cell r="B621" t="str">
            <v>https://doi.org/10.5281/zenodo.7920587</v>
          </cell>
        </row>
        <row r="622">
          <cell r="B622" t="str">
            <v>https://doi.org/10.5281/zenodo.7920588</v>
          </cell>
        </row>
        <row r="623">
          <cell r="B623" t="str">
            <v>https://doi.org/10.22541/essoar.168500367.77673037/v1</v>
          </cell>
        </row>
        <row r="624">
          <cell r="B624" t="str">
            <v>https://doi.org/10.1115/jrc2021-58311</v>
          </cell>
        </row>
        <row r="625">
          <cell r="B625" t="str">
            <v>https://doi.org/10.1080/14763141.2022.2088401</v>
          </cell>
        </row>
        <row r="626">
          <cell r="B626" t="str">
            <v>https://doi.org/10.1007/978-3-030-63089-8_6</v>
          </cell>
        </row>
        <row r="627">
          <cell r="B627" t="str">
            <v>https://doi.org/10.1149/ma2022-01412468mtgabs</v>
          </cell>
        </row>
        <row r="628">
          <cell r="B628" t="str">
            <v>https://doi.org/10.1007/s41669-024-00481-y</v>
          </cell>
        </row>
        <row r="629">
          <cell r="B629" t="str">
            <v>https://doi.org/10.1016/j.nimb.2023.05.012</v>
          </cell>
        </row>
        <row r="630">
          <cell r="B630" t="str">
            <v>https://doi.org/10.1515/snde-2023-0028</v>
          </cell>
        </row>
        <row r="631">
          <cell r="B631" t="str">
            <v>https://doi.org/10.1016/j.jeconom.2024.105814</v>
          </cell>
        </row>
        <row r="632">
          <cell r="B632" t="str">
            <v>https://doi.org/10.5194/egusphere-2022-237</v>
          </cell>
        </row>
        <row r="633">
          <cell r="B633" t="str">
            <v>https://doi.org/10.1149/ma2022-02421569mtgabs</v>
          </cell>
        </row>
        <row r="634">
          <cell r="B634" t="str">
            <v>https://doi.org/10.3389/feduc.2024.1446941</v>
          </cell>
        </row>
        <row r="635">
          <cell r="B635" t="str">
            <v>https://doi.org/10.1109/crv50864.2020.00017</v>
          </cell>
        </row>
        <row r="636">
          <cell r="B636" t="str">
            <v>https://doi.org/10.5194/tc-2021-359</v>
          </cell>
        </row>
        <row r="637">
          <cell r="B637" t="str">
            <v>https://doi.org/10.5465/ambpp.2022.152</v>
          </cell>
        </row>
        <row r="638">
          <cell r="B638" t="str">
            <v>https://doi.org/10.1080/25751654.2023.2219488</v>
          </cell>
        </row>
        <row r="639">
          <cell r="B639" t="str">
            <v>https://doi.org/10.1109/embc53108.2024.10782799</v>
          </cell>
        </row>
        <row r="640">
          <cell r="B640" t="str">
            <v>https://doi.org/10.1155/2022/2267107</v>
          </cell>
        </row>
        <row r="641">
          <cell r="B641" t="str">
            <v>https://doi.org/10.31235/osf.io/d9bv2</v>
          </cell>
        </row>
        <row r="642">
          <cell r="B642" t="str">
            <v>https://doi.org/10.1007/978-3-030-55190-2_26</v>
          </cell>
        </row>
        <row r="643">
          <cell r="B643" t="str">
            <v>https://doi.org/10.18260/1-2--20410</v>
          </cell>
        </row>
        <row r="644">
          <cell r="B644" t="str">
            <v>https://doi.org/10.1109/jsen.2020.3029433</v>
          </cell>
        </row>
        <row r="645">
          <cell r="B645" t="str">
            <v>https://doi.org/10.1109/cdc45484.2021.9683031</v>
          </cell>
        </row>
        <row r="646">
          <cell r="B646" t="str">
            <v>https://doi.org/10.1109/igarss47720.2021.9553861</v>
          </cell>
        </row>
        <row r="647">
          <cell r="B647" t="str">
            <v>https://doi.org/10.1109/iros58592.2024.10802068</v>
          </cell>
        </row>
        <row r="648">
          <cell r="B648" t="str">
            <v>https://doi.org/10.5281/zenodo.4641434</v>
          </cell>
        </row>
        <row r="649">
          <cell r="B649" t="str">
            <v>https://doi.org/10.1115/detc2023-114997</v>
          </cell>
        </row>
        <row r="650">
          <cell r="B650" t="str">
            <v>https://doi.org/10.1007/978-3-030-89906-6_35</v>
          </cell>
        </row>
        <row r="651">
          <cell r="B651" t="str">
            <v>https://doi.org/10.1145/3606037.3606840</v>
          </cell>
        </row>
        <row r="652">
          <cell r="B652" t="str">
            <v>https://doi.org/10.1016/b978-0-323-99450-7.00007-1</v>
          </cell>
        </row>
        <row r="653">
          <cell r="B653" t="str">
            <v>https://doi.org/10.1149/ma2020-02332101mtgabs</v>
          </cell>
        </row>
        <row r="654">
          <cell r="B654" t="str">
            <v>https://doi.org/10.1016/j.rico.2023.100203</v>
          </cell>
        </row>
        <row r="655">
          <cell r="B655" t="str">
            <v>https://doi.org/10.1109/tpel.2024.3377685</v>
          </cell>
        </row>
        <row r="656">
          <cell r="B656" t="str">
            <v>https://doi.org/10.1088/1748-0221/16/01/p01010</v>
          </cell>
        </row>
        <row r="657">
          <cell r="B657" t="str">
            <v>https://doi.org/10.1109/sege59172.2023.10274584</v>
          </cell>
        </row>
        <row r="658">
          <cell r="B658" t="str">
            <v>https://doi.org/10.1109/jiot.2024.3514457</v>
          </cell>
        </row>
        <row r="659">
          <cell r="B659" t="str">
            <v>https://doi.org/10.2139/ssrn.4432932</v>
          </cell>
        </row>
        <row r="660">
          <cell r="B660" t="str">
            <v>https://doi.org/10.1109/isie45063.2020.9152226</v>
          </cell>
        </row>
        <row r="661">
          <cell r="B661" t="str">
            <v>https://doi.org/10.23919/ursigass51995.2021.9560196</v>
          </cell>
        </row>
        <row r="662">
          <cell r="B662" t="str">
            <v>https://doi.org/10.1109/ieeeconf35879.2020.9329819</v>
          </cell>
        </row>
        <row r="663">
          <cell r="B663" t="str">
            <v>https://doi.org/10.7910/dvn/iitph8</v>
          </cell>
        </row>
        <row r="664">
          <cell r="B664" t="str">
            <v>https://doi.org/10.21203/rs.3.rs-2163839/v1</v>
          </cell>
        </row>
        <row r="665">
          <cell r="B665" t="str">
            <v>https://doi.org/10.1007/s11222-020-09941-x</v>
          </cell>
        </row>
        <row r="666">
          <cell r="B666" t="str">
            <v>https://doi.org/10.1209/0295-5075/ac765d</v>
          </cell>
        </row>
        <row r="667">
          <cell r="B667" t="str">
            <v>https://doi.org/10.1007/s11222-024-10546-x</v>
          </cell>
        </row>
        <row r="668">
          <cell r="B668" t="str">
            <v>https://doi.org/10.1007/s13253-024-00618-w</v>
          </cell>
        </row>
        <row r="669">
          <cell r="B669" t="str">
            <v>https://doi.org/10.1109/globecom52923.2024.10901333</v>
          </cell>
        </row>
        <row r="670">
          <cell r="B670" t="str">
            <v>https://doi.org/10.1080/03461238.2023.2234914</v>
          </cell>
        </row>
        <row r="671">
          <cell r="B671" t="str">
            <v>https://doi.org/10.1080/03610918.2022.2155313</v>
          </cell>
        </row>
        <row r="672">
          <cell r="B672" t="str">
            <v>https://doi.org/10.3390/vibration6020020</v>
          </cell>
        </row>
        <row r="673">
          <cell r="B673" t="str">
            <v>https://doi.org/10.1002/cjs.11550</v>
          </cell>
        </row>
        <row r="674">
          <cell r="B674" t="str">
            <v>https://doi.org/10.1109/iecon43393.2020.9254647</v>
          </cell>
        </row>
        <row r="675">
          <cell r="B675" t="str">
            <v>https://doi.org/10.1109/ccece59415.2024.10667220</v>
          </cell>
        </row>
        <row r="676">
          <cell r="B676" t="str">
            <v>https://doi.org/10.1016/j.jedc.2024.104840</v>
          </cell>
        </row>
        <row r="677">
          <cell r="B677" t="str">
            <v>https://doi.org/10.48550/arxiv.2105.00371</v>
          </cell>
        </row>
        <row r="678">
          <cell r="B678" t="str">
            <v>https://doi.org/10.1109/lsens.2024.3509373</v>
          </cell>
        </row>
        <row r="679">
          <cell r="B679" t="str">
            <v>https://doi.org/10.1109/iccworkshops59551.2024.10615442</v>
          </cell>
        </row>
        <row r="680">
          <cell r="B680" t="str">
            <v>https://doi.org/10.1016/j.comnet.2021.107875</v>
          </cell>
        </row>
        <row r="681">
          <cell r="B681" t="str">
            <v>https://doi.org/10.1109/fcn60432.2023.10543699</v>
          </cell>
        </row>
        <row r="682">
          <cell r="B682" t="str">
            <v>https://doi.org/10.1080/07474938.2024.2334166</v>
          </cell>
        </row>
        <row r="683">
          <cell r="B683" t="str">
            <v>https://doi.org/10.1007/978-3-031-18461-1_32</v>
          </cell>
        </row>
        <row r="684">
          <cell r="B684" t="str">
            <v>https://doi.org/10.1109/iwqos61813.2024.10682947</v>
          </cell>
        </row>
        <row r="685">
          <cell r="B685" t="str">
            <v>https://doi.org/10.1139/cjc-2023-0232</v>
          </cell>
        </row>
        <row r="686">
          <cell r="B686" t="str">
            <v>https://doi.org/10.1109/iwcmc61514.2024.10592432</v>
          </cell>
        </row>
        <row r="687">
          <cell r="B687" t="str">
            <v>https://doi.org/10.1101/2021.02.12.430986</v>
          </cell>
        </row>
        <row r="688">
          <cell r="B688" t="str">
            <v>https://doi.org/10.1109/infocom52122.2024.10621352</v>
          </cell>
        </row>
        <row r="689">
          <cell r="B689" t="str">
            <v>https://doi.org/10.2139/ssrn.3946518</v>
          </cell>
        </row>
        <row r="690">
          <cell r="B690" t="str">
            <v>https://doi.org/10.1109/sdemped54949.2023.10271449</v>
          </cell>
        </row>
        <row r="691">
          <cell r="B691" t="str">
            <v>https://doi.org/10.1038/s41467-022-31381-6</v>
          </cell>
        </row>
        <row r="692">
          <cell r="B692" t="str">
            <v>https://doi.org/10.5194/gmd-2019-373-supplement</v>
          </cell>
        </row>
        <row r="693">
          <cell r="B693" t="str">
            <v>https://doi.org/10.5194/egusphere-2024-2418</v>
          </cell>
        </row>
        <row r="694">
          <cell r="B694" t="str">
            <v>https://doi.org/10.1109/satellite59115.2023.00017</v>
          </cell>
        </row>
        <row r="695">
          <cell r="B695" t="str">
            <v>https://doi.org/10.1109/case59546.2024.10711838</v>
          </cell>
        </row>
        <row r="696">
          <cell r="B696" t="str">
            <v>https://doi.org/10.2139/ssrn.3698420</v>
          </cell>
        </row>
        <row r="697">
          <cell r="B697" t="str">
            <v>https://doi.org/10.20944/preprints202408.1148.v1</v>
          </cell>
        </row>
        <row r="698">
          <cell r="B698" t="str">
            <v>https://doi.org/10.1109/tbdata.2024.3403390</v>
          </cell>
        </row>
        <row r="699">
          <cell r="B699" t="str">
            <v>https://doi.org/10.1145/3666025.3699346</v>
          </cell>
        </row>
        <row r="700">
          <cell r="B700" t="str">
            <v>https://doi.org/10.1109/globecom52923.2024.10901313</v>
          </cell>
        </row>
        <row r="701">
          <cell r="B701" t="str">
            <v>https://doi.org/10.25300/misq/2024/18049</v>
          </cell>
        </row>
        <row r="702">
          <cell r="B702" t="str">
            <v>https://doi.org/10.1002/gepi.22502</v>
          </cell>
        </row>
        <row r="703">
          <cell r="B703" t="str">
            <v>https://doi.org/10.1155/2020/6751574</v>
          </cell>
        </row>
        <row r="704">
          <cell r="B704" t="str">
            <v>https://doi.org/10.1115/gt2022-80865</v>
          </cell>
        </row>
        <row r="705">
          <cell r="B705" t="str">
            <v>https://doi.org/10.2139/ssrn.4021609</v>
          </cell>
        </row>
        <row r="706">
          <cell r="B706" t="str">
            <v>https://doi.org/10.1109/sensors60989.2024.10784982</v>
          </cell>
        </row>
        <row r="707">
          <cell r="B707" t="str">
            <v>https://doi.org/10.32614/rj-2023-018</v>
          </cell>
        </row>
        <row r="708">
          <cell r="B708" t="str">
            <v>https://doi.org/10.1109/iemcon56893.2022.9946596</v>
          </cell>
        </row>
        <row r="709">
          <cell r="B709" t="str">
            <v>https://doi.org/10.1007/978-3-031-25374-4_7</v>
          </cell>
        </row>
        <row r="710">
          <cell r="B710" t="str">
            <v>https://doi.org/10.1109/tdsc.2024.3401836</v>
          </cell>
        </row>
        <row r="711">
          <cell r="B711" t="str">
            <v>https://doi.org/10.1364/oe.504854</v>
          </cell>
        </row>
        <row r="712">
          <cell r="B712" t="str">
            <v>https://doi.org/10.48550/arxiv.2006.14357</v>
          </cell>
        </row>
        <row r="713">
          <cell r="B713" t="str">
            <v>https://doi.org/10.5194/gmd-2020-171</v>
          </cell>
        </row>
        <row r="714">
          <cell r="B714" t="str">
            <v>https://doi.org/10.1002/pst.2292</v>
          </cell>
        </row>
        <row r="715">
          <cell r="B715" t="str">
            <v>https://doi.org/10.1109/tkde.2023.3335248</v>
          </cell>
        </row>
        <row r="716">
          <cell r="B716" t="str">
            <v>https://doi.org/10.1109/iwqos61813.2024.10682914</v>
          </cell>
        </row>
        <row r="717">
          <cell r="B717" t="str">
            <v>https://doi.org/10.1175/jcli-d-23-0312.1</v>
          </cell>
        </row>
        <row r="718">
          <cell r="B718" t="str">
            <v>https://doi.org/10.1089/neur.2023.0006</v>
          </cell>
        </row>
        <row r="719">
          <cell r="B719" t="str">
            <v>https://doi.org/10.1177/09622802231176034</v>
          </cell>
        </row>
        <row r="720">
          <cell r="B720" t="str">
            <v>https://doi.org/10.1109/tnet.2024.3470649</v>
          </cell>
        </row>
        <row r="721">
          <cell r="B721" t="str">
            <v>https://doi.org/10.48550/arxiv.2106.02802</v>
          </cell>
        </row>
        <row r="722">
          <cell r="B722" t="str">
            <v>https://doi.org/10.1101/2024.06.07.597929</v>
          </cell>
        </row>
        <row r="723">
          <cell r="B723" t="str">
            <v>https://doi.org/10.1175/jcli-d-23-0770.1</v>
          </cell>
        </row>
        <row r="724">
          <cell r="B724" t="str">
            <v>https://doi.org/10.48550/arxiv.2401.12300</v>
          </cell>
        </row>
        <row r="725">
          <cell r="B725" t="str">
            <v>https://doi.org/10.31234/osf.io/d8tuy</v>
          </cell>
        </row>
        <row r="726">
          <cell r="B726" t="str">
            <v>https://doi.org/10.5281/zenodo.8045762</v>
          </cell>
        </row>
        <row r="727">
          <cell r="B727" t="str">
            <v>https://doi.org/10.1101/2020.06.30.180943</v>
          </cell>
        </row>
        <row r="728">
          <cell r="B728" t="str">
            <v>https://doi.org/10.1016/j.ecoleng.2023.107145</v>
          </cell>
        </row>
        <row r="729">
          <cell r="B729" t="str">
            <v>https://doi.org/10.1136/ijgc-2024-esgo.66</v>
          </cell>
        </row>
        <row r="730">
          <cell r="B730" t="str">
            <v>https://doi.org/10.4271/2024-01-2114</v>
          </cell>
        </row>
        <row r="731">
          <cell r="B731" t="str">
            <v>https://doi.org/10.1088/1361-6463/ab7e68</v>
          </cell>
        </row>
        <row r="732">
          <cell r="B732" t="str">
            <v>https://doi.org/10.1145/3586182.3615806</v>
          </cell>
        </row>
        <row r="733">
          <cell r="B733" t="str">
            <v>https://doi.org/10.1016/j.rse.2023.113873</v>
          </cell>
        </row>
        <row r="734">
          <cell r="B734" t="str">
            <v>https://doi.org/10.2139/ssrn.4213655</v>
          </cell>
        </row>
        <row r="735">
          <cell r="B735" t="str">
            <v>https://doi.org/10.1080/15427560.2023.2203496</v>
          </cell>
        </row>
        <row r="736">
          <cell r="B736" t="str">
            <v>https://doi.org/10.5194/isprs-archives-xliii-b4-2021-339-2021</v>
          </cell>
        </row>
        <row r="737">
          <cell r="B737" t="str">
            <v>https://doi.org/10.34024/prometeica.2023.27.15303</v>
          </cell>
        </row>
        <row r="738">
          <cell r="B738" t="str">
            <v>https://doi.org/10.5281/zenodo.10078539</v>
          </cell>
        </row>
        <row r="739">
          <cell r="B739" t="str">
            <v>https://doi.org/10.1109/vcip53242.2021.9675344</v>
          </cell>
        </row>
        <row r="740">
          <cell r="B740" t="str">
            <v>https://doi.org/10.24908/pceea.vi0.14897</v>
          </cell>
        </row>
        <row r="741">
          <cell r="B741" t="str">
            <v>https://doi.org/10.3390/ijerph21111413</v>
          </cell>
        </row>
        <row r="742">
          <cell r="B742" t="str">
            <v>https://doi.org/10.1149/ma2023-01282791mtgabs</v>
          </cell>
        </row>
        <row r="743">
          <cell r="B743" t="str">
            <v>https://doi.org/10.5281/zenodo.4663136</v>
          </cell>
        </row>
        <row r="744">
          <cell r="B744" t="str">
            <v>https://doi.org/10.1007/978-3-031-66971-2_50</v>
          </cell>
        </row>
        <row r="745">
          <cell r="B745" t="str">
            <v>https://doi.org/10.7910/dvn/unebpy</v>
          </cell>
        </row>
        <row r="746">
          <cell r="B746" t="str">
            <v>https://doi.org/10.1289/isee.2022.p-0008</v>
          </cell>
        </row>
        <row r="747">
          <cell r="B747" t="str">
            <v>https://doi.org/10.48550/arxiv.2211.05836</v>
          </cell>
        </row>
        <row r="748">
          <cell r="B748" t="str">
            <v>https://doi.org/10.1149/ma2023-02391915mtgabs</v>
          </cell>
        </row>
        <row r="749">
          <cell r="B749" t="str">
            <v>https://doi.org/10.1109/pvsc43889.2021.9518957</v>
          </cell>
        </row>
        <row r="750">
          <cell r="B750" t="str">
            <v>https://doi.org/10.1149/ma2022-01412456mtgabs</v>
          </cell>
        </row>
        <row r="751">
          <cell r="B751" t="str">
            <v>https://doi.org/10.1101/2024.10.24.620034</v>
          </cell>
        </row>
        <row r="752">
          <cell r="B752" t="str">
            <v>https://doi.org/10.1101/2024.07.04.600628</v>
          </cell>
        </row>
        <row r="753">
          <cell r="B753" t="str">
            <v>https://doi.org/10.1016/j.hydroa.2022.100144</v>
          </cell>
        </row>
        <row r="754">
          <cell r="B754" t="str">
            <v>https://doi.org/10.4108/eai.18-11-2022.2326875</v>
          </cell>
        </row>
        <row r="755">
          <cell r="B755" t="str">
            <v>https://doi.org/10.1016/j.enconman.2022.115573</v>
          </cell>
        </row>
        <row r="756">
          <cell r="B756" t="str">
            <v>https://doi.org/10.1051/e3sconf/202130802005</v>
          </cell>
        </row>
        <row r="757">
          <cell r="B757" t="str">
            <v>https://doi.org/10.1109/icca62789.2024.10591810</v>
          </cell>
        </row>
        <row r="758">
          <cell r="B758" t="str">
            <v>https://doi.org/10.5194/tc-2021-359-rc2</v>
          </cell>
        </row>
        <row r="759">
          <cell r="B759" t="str">
            <v>https://doi.org/10.5194/tc-2021-359-ac2</v>
          </cell>
        </row>
        <row r="760">
          <cell r="B760" t="str">
            <v>https://doi.org/10.5194/tc-2021-359-ac3</v>
          </cell>
        </row>
        <row r="761">
          <cell r="B761" t="str">
            <v>https://doi.org/10.5194/tc-2021-359-rc3</v>
          </cell>
        </row>
        <row r="762">
          <cell r="B762" t="str">
            <v>https://doi.org/10.5194/tc-2021-359-ac1</v>
          </cell>
        </row>
        <row r="763">
          <cell r="B763" t="str">
            <v>https://doi.org/10.2139/ssrn.3819931</v>
          </cell>
        </row>
        <row r="764">
          <cell r="B764" t="str">
            <v>https://doi.org/10.1145/3458305.3478465</v>
          </cell>
        </row>
        <row r="765">
          <cell r="B765" t="str">
            <v>https://doi.org/10.55092/aias20240007</v>
          </cell>
        </row>
        <row r="766">
          <cell r="B766" t="str">
            <v>https://doi.org/10.1177/00207020231178924</v>
          </cell>
        </row>
        <row r="767">
          <cell r="B767" t="str">
            <v>https://doi.org/10.1177/01171968241310287</v>
          </cell>
        </row>
        <row r="768">
          <cell r="B768" t="str">
            <v>https://doi.org/10.48550/arxiv.2002.12739</v>
          </cell>
        </row>
        <row r="769">
          <cell r="B769" t="str">
            <v>https://doi.org/10.1017/9781009243728.012</v>
          </cell>
        </row>
        <row r="770">
          <cell r="B770" t="str">
            <v>https://doi.org/10.1017/jch.2020.49</v>
          </cell>
        </row>
        <row r="771">
          <cell r="B771" t="str">
            <v>https://doi.org/10.22541/essoar.167525041.18985769/v1</v>
          </cell>
        </row>
        <row r="772">
          <cell r="B772" t="str">
            <v>https://doi.org/10.5194/egusphere-2023-2063-rc3</v>
          </cell>
        </row>
        <row r="773">
          <cell r="B773" t="str">
            <v>https://doi.org/10.5194/egusphere-2023-2063-rc2</v>
          </cell>
        </row>
        <row r="774">
          <cell r="B774" t="str">
            <v>https://doi.org/10.5210/spir.v2020i0.11235</v>
          </cell>
        </row>
        <row r="775">
          <cell r="B775" t="str">
            <v>https://doi.org/10.37247/pamed.1.2020.16</v>
          </cell>
        </row>
        <row r="776">
          <cell r="B776" t="str">
            <v>https://doi.org/10.5281/zenodo.4641433</v>
          </cell>
        </row>
        <row r="777">
          <cell r="B777" t="str">
            <v>https://doi.org/10.5194/egusphere-2023-420-ac3</v>
          </cell>
        </row>
        <row r="778">
          <cell r="B778" t="str">
            <v>https://doi.org/10.5194/egusphere-2023-420-rc2</v>
          </cell>
        </row>
        <row r="779">
          <cell r="B779" t="str">
            <v>https://doi.org/10.5194/egusphere-2023-420-cc1</v>
          </cell>
        </row>
        <row r="780">
          <cell r="B780" t="str">
            <v>https://doi.org/10.5194/egusphere-2023-420-ac2</v>
          </cell>
        </row>
        <row r="781">
          <cell r="B781" t="str">
            <v>https://doi.org/10.5194/egusphere-2023-420-ac1</v>
          </cell>
        </row>
        <row r="782">
          <cell r="B782" t="str">
            <v>https://doi.org/10.1109/emts57498.2023.10925248</v>
          </cell>
        </row>
        <row r="783">
          <cell r="B783" t="str">
            <v>https://doi.org/10.5194/egusphere-2024-1031-rc3</v>
          </cell>
        </row>
        <row r="784">
          <cell r="B784" t="str">
            <v>https://doi.org/10.5194/egusphere-2024-1031-rc2</v>
          </cell>
        </row>
        <row r="785">
          <cell r="B785" t="str">
            <v>https://doi.org/10.5194/egusphere-egu21-16599</v>
          </cell>
        </row>
        <row r="786">
          <cell r="B786" t="str">
            <v>https://doi.org/10.1101/2024.08.13.24311932</v>
          </cell>
        </row>
        <row r="787">
          <cell r="B787" t="str">
            <v>https://doi.org/10.5194/egusphere-egu23-8382</v>
          </cell>
        </row>
        <row r="788">
          <cell r="B788" t="str">
            <v>https://doi.org/10.1136/sextrans-2021-sti.185</v>
          </cell>
        </row>
        <row r="790">
          <cell r="B790" t="str">
            <v>https://doi.org/10.1017/s0266466620000225</v>
          </cell>
        </row>
        <row r="791">
          <cell r="B791" t="str">
            <v>https://doi.org/10.5281/zenodo.5140084</v>
          </cell>
        </row>
        <row r="792">
          <cell r="B792" t="str">
            <v>https://doi.org/10.1109/jsen.2024.3393354</v>
          </cell>
        </row>
        <row r="793">
          <cell r="B793" t="str">
            <v>https://doi.org/10.5281/zenodo.4776965</v>
          </cell>
        </row>
        <row r="794">
          <cell r="B794" t="str">
            <v>https://doi.org/10.1145/3431920.3439459</v>
          </cell>
        </row>
        <row r="795">
          <cell r="B795" t="str">
            <v>https://doi.org/10.1016/j.cpc.2021.108113</v>
          </cell>
        </row>
        <row r="796">
          <cell r="B796" t="str">
            <v>https://doi.org/10.5281/zenodo.5661232</v>
          </cell>
        </row>
        <row r="797">
          <cell r="B797" t="str">
            <v>https://doi.org/10.1137/21s1420551</v>
          </cell>
        </row>
        <row r="798">
          <cell r="B798" t="str">
            <v>https://doi.org/10.5281/zenodo.5661231</v>
          </cell>
        </row>
        <row r="799">
          <cell r="B799" t="str">
            <v>https://doi.org/10.29363/nanoge.matsus.2024.301</v>
          </cell>
        </row>
        <row r="800">
          <cell r="B800" t="str">
            <v>https://doi.org/10.1029/2024rs008068</v>
          </cell>
        </row>
        <row r="801">
          <cell r="B801" t="str">
            <v>https://doi.org/10.5194/tc-2022-29-ac1</v>
          </cell>
        </row>
        <row r="802">
          <cell r="B802" t="str">
            <v>https://doi.org/10.5194/egusphere-2024-871-ac1</v>
          </cell>
        </row>
        <row r="803">
          <cell r="B803" t="str">
            <v>https://doi.org/10.5194/egusphere-2024-871-ac3</v>
          </cell>
        </row>
        <row r="804">
          <cell r="B804" t="str">
            <v>https://doi.org/10.5194/egusphere-2024-871-cc1</v>
          </cell>
        </row>
        <row r="805">
          <cell r="B805" t="str">
            <v>https://doi.org/10.5194/egusphere-2024-871-ac2</v>
          </cell>
        </row>
        <row r="806">
          <cell r="B806" t="str">
            <v>https://doi.org/10.1109/uemcon59035.2023.10315990</v>
          </cell>
        </row>
        <row r="807">
          <cell r="B807" t="str">
            <v>https://doi.org/10.1101/2020.07.30.229286</v>
          </cell>
        </row>
        <row r="808">
          <cell r="B808" t="str">
            <v>https://doi.org/10.23919/eucap60739.2024.10501508</v>
          </cell>
        </row>
        <row r="809">
          <cell r="B809" t="str">
            <v>https://doi.org/10.48550/arxiv.2011.03125</v>
          </cell>
        </row>
        <row r="810">
          <cell r="B810" t="str">
            <v>https://doi.org/10.1175/jas-d-23-0092.1</v>
          </cell>
        </row>
        <row r="811">
          <cell r="B811" t="str">
            <v>https://doi.org/10.31223/x5f96t</v>
          </cell>
        </row>
        <row r="812">
          <cell r="B812" t="str">
            <v>https://doi.org/10.2139/ssrn.4225473</v>
          </cell>
        </row>
        <row r="813">
          <cell r="B813" t="str">
            <v>https://doi.org/10.1007/978-3-031-10417-6_140-1</v>
          </cell>
        </row>
        <row r="814">
          <cell r="B814" t="str">
            <v>https://doi.org/10.1109/ap-s/inc-usnc-ursi52054.2024.10687142</v>
          </cell>
        </row>
        <row r="815">
          <cell r="B815" t="str">
            <v>https://doi.org/10.1007/978-3-031-50256-9_140</v>
          </cell>
        </row>
        <row r="816">
          <cell r="B816" t="str">
            <v>https://doi.org/10.1109/emts57498.2023.10925301</v>
          </cell>
        </row>
        <row r="817">
          <cell r="B817" t="str">
            <v>https://doi.org/10.1109/emts57498.2023.10925224</v>
          </cell>
        </row>
        <row r="818">
          <cell r="B818" t="str">
            <v>https://doi.org/10.1016/j.dib.2022.108311</v>
          </cell>
        </row>
        <row r="819">
          <cell r="B819" t="str">
            <v>https://doi.org/10.1002/smll.202470366</v>
          </cell>
        </row>
        <row r="820">
          <cell r="B820" t="str">
            <v>https://doi.org/10.1109/ieeeconf35879.2020.9330408</v>
          </cell>
        </row>
        <row r="821">
          <cell r="B821" t="str">
            <v>https://doi.org/10.22323/1.449.0598</v>
          </cell>
        </row>
        <row r="822">
          <cell r="B822" t="str">
            <v>https://doi.org/10.1109/ecce47101.2021.9595229</v>
          </cell>
        </row>
        <row r="823">
          <cell r="B823" t="str">
            <v>https://doi.org/10.1117/12.2609965</v>
          </cell>
        </row>
        <row r="824">
          <cell r="B824" t="str">
            <v>https://doi.org/10.1016/j.apal.2020.102796</v>
          </cell>
        </row>
        <row r="825">
          <cell r="B825" t="str">
            <v>https://doi.org/10.48550/arxiv.2010.04305</v>
          </cell>
        </row>
        <row r="826">
          <cell r="B826" t="str">
            <v>https://doi.org/10.36227/techrxiv.173145101.12229004/v1</v>
          </cell>
        </row>
        <row r="827">
          <cell r="B827" t="str">
            <v>https://doi.org/10.48550/arxiv.2010.03933</v>
          </cell>
        </row>
        <row r="828">
          <cell r="B828" t="str">
            <v>https://doi.org/10.1103/physreve.106.l022103</v>
          </cell>
        </row>
        <row r="829">
          <cell r="B829" t="str">
            <v>https://doi.org/10.1007/978-3-031-59254-6_5</v>
          </cell>
        </row>
        <row r="830">
          <cell r="B830" t="str">
            <v>https://doi.org/10.22541/essoar.172736254.41350153/v1</v>
          </cell>
        </row>
        <row r="831">
          <cell r="B831" t="str">
            <v>https://doi.org/10.1101/2023.06.12.544410</v>
          </cell>
        </row>
        <row r="832">
          <cell r="B832" t="str">
            <v>https://doi.org/10.29363/nanoge.matsus.2024.316</v>
          </cell>
        </row>
        <row r="833">
          <cell r="B833" t="str">
            <v>https://doi.org/10.23919/ursigass51995.2021.9560579</v>
          </cell>
        </row>
        <row r="834">
          <cell r="B834" t="str">
            <v>https://doi.org/10.2139/ssrn.3737708</v>
          </cell>
        </row>
        <row r="835">
          <cell r="B835" t="str">
            <v>https://doi.org/10.1109/globecom52923.2024.10901078</v>
          </cell>
        </row>
        <row r="836">
          <cell r="B836" t="str">
            <v>https://doi.org/10.1109/lacap63752.2024.10876332</v>
          </cell>
        </row>
        <row r="837">
          <cell r="B837" t="str">
            <v>https://doi.org/10.1109/iecon48115.2021.9589671</v>
          </cell>
        </row>
        <row r="838">
          <cell r="B838" t="str">
            <v>https://doi.org/10.1049/iet-pel.2020.0594</v>
          </cell>
        </row>
        <row r="839">
          <cell r="B839" t="str">
            <v>https://doi.org/10.2139/ssrn.4191884</v>
          </cell>
        </row>
        <row r="840">
          <cell r="B840" t="str">
            <v>https://doi.org/10.2139/ssrn.4498504</v>
          </cell>
        </row>
        <row r="841">
          <cell r="B841" t="str">
            <v>https://doi.org/10.1002/bimj.202300214</v>
          </cell>
        </row>
        <row r="842">
          <cell r="B842" t="str">
            <v>https://doi.org/10.5194/tc-2022-29</v>
          </cell>
        </row>
        <row r="843">
          <cell r="B843" t="str">
            <v>https://doi.org/10.5281/zenodo.6680673</v>
          </cell>
        </row>
        <row r="844">
          <cell r="B844" t="str">
            <v>https://doi.org/10.1101/2022.05.06.22273576</v>
          </cell>
        </row>
        <row r="845">
          <cell r="B845" t="str">
            <v>https://doi.org/10.5705/ss.202021.0118</v>
          </cell>
        </row>
        <row r="846">
          <cell r="B846" t="str">
            <v>https://doi.org/10.1109/iwcmc61514.2024.10592388</v>
          </cell>
        </row>
        <row r="847">
          <cell r="B847" t="str">
            <v>https://doi.org/10.5920/jcms.1246</v>
          </cell>
        </row>
        <row r="848">
          <cell r="B848" t="str">
            <v>https://doi.org/10.22541/au.169322239.96715154/v1</v>
          </cell>
        </row>
        <row r="849">
          <cell r="B849" t="str">
            <v>https://doi.org/10.2139/ssrn.4724013</v>
          </cell>
        </row>
        <row r="850">
          <cell r="B850" t="str">
            <v>https://doi.org/10.1109/ecce47101.2021.9595344</v>
          </cell>
        </row>
        <row r="851">
          <cell r="B851" t="str">
            <v>https://doi.org/10.2139/ssrn.3979616</v>
          </cell>
        </row>
        <row r="852">
          <cell r="B852" t="str">
            <v>https://doi.org/10.2139/ssrn.4135432</v>
          </cell>
        </row>
        <row r="853">
          <cell r="B853" t="str">
            <v>https://doi.org/10.3390/books978-3-03928-181-7</v>
          </cell>
        </row>
        <row r="854">
          <cell r="B854" t="str">
            <v>https://doi.org/10.23919/iccas63016.2024.10773227</v>
          </cell>
        </row>
        <row r="855">
          <cell r="B855" t="str">
            <v>https://doi.org/10.5281/zenodo.5358393</v>
          </cell>
        </row>
        <row r="856">
          <cell r="B856" t="str">
            <v>https://doi.org/10.1109/sege49949.2020.9182001</v>
          </cell>
        </row>
        <row r="857">
          <cell r="B857" t="str">
            <v>https://doi.org/10.5281/zenodo.5358394</v>
          </cell>
        </row>
        <row r="858">
          <cell r="B858" t="str">
            <v>https://doi.org/10.1093/ectj/utab025</v>
          </cell>
        </row>
        <row r="859">
          <cell r="B859" t="str">
            <v>https://doi.org/10.1109/icecie58751.2024.10457409</v>
          </cell>
        </row>
        <row r="860">
          <cell r="B860" t="str">
            <v>https://doi.org/10.1145/3476576.3476650</v>
          </cell>
        </row>
        <row r="861">
          <cell r="B861" t="str">
            <v>https://doi.org/10.47004/wp.cem.2023.2223</v>
          </cell>
        </row>
        <row r="862">
          <cell r="B862" t="str">
            <v>https://doi.org/10.1109/globecom52923.2024.10901118</v>
          </cell>
        </row>
        <row r="863">
          <cell r="B863" t="str">
            <v>https://doi.org/10.21203/rs.3.rs-3688727/v1</v>
          </cell>
        </row>
        <row r="864">
          <cell r="B864" t="str">
            <v>https://doi.org/10.47004/wp.cem.2021.1821</v>
          </cell>
        </row>
        <row r="865">
          <cell r="B865" t="str">
            <v>https://doi.org/10.1109/isgt59692.2024.10454170</v>
          </cell>
        </row>
        <row r="866">
          <cell r="B866" t="str">
            <v>https://doi.org/10.1109/iros58592.2024.10802700</v>
          </cell>
        </row>
        <row r="867">
          <cell r="B867" t="str">
            <v>https://doi.org/10.5194/egusphere-egu24-13851</v>
          </cell>
        </row>
        <row r="868">
          <cell r="B868" t="str">
            <v>https://doi.org/10.1007/978-3-031-40534-1_1</v>
          </cell>
        </row>
        <row r="869">
          <cell r="B869" t="str">
            <v>https://doi.org/10.21203/rs.3.rs-5053327/v1</v>
          </cell>
        </row>
        <row r="870">
          <cell r="B870" t="str">
            <v>https://doi.org/10.3390/vibration7010007</v>
          </cell>
        </row>
        <row r="871">
          <cell r="B871" t="str">
            <v>https://doi.org/10.2139/ssrn.3972773</v>
          </cell>
        </row>
        <row r="872">
          <cell r="B872" t="str">
            <v>https://doi.org/10.1109/wf-iot54382.2022.10152163</v>
          </cell>
        </row>
        <row r="873">
          <cell r="B873" t="str">
            <v>https://doi.org/10.48550/arxiv.2006.12676</v>
          </cell>
        </row>
        <row r="874">
          <cell r="B874" t="str">
            <v>https://doi.org/10.31235/osf.io/uxzdv</v>
          </cell>
        </row>
        <row r="875">
          <cell r="B875" t="str">
            <v>https://doi.org/10.1109/nssmicrtsd49126.2023.10338596</v>
          </cell>
        </row>
        <row r="876">
          <cell r="B876" t="str">
            <v>https://doi.org/10.1007/978-3-031-66428-1_14</v>
          </cell>
        </row>
        <row r="877">
          <cell r="B877" t="str">
            <v>https://doi.org/10.48550/arxiv.2002.01350</v>
          </cell>
        </row>
        <row r="878">
          <cell r="B878" t="str">
            <v>https://doi.org/10.2139/ssrn.4855678</v>
          </cell>
        </row>
        <row r="879">
          <cell r="B879" t="str">
            <v>https://doi.org/10.1504/ijscip.2021.125162</v>
          </cell>
        </row>
        <row r="880">
          <cell r="B880" t="str">
            <v>https://doi.org/10.5194/isprs-annals-v-4-2021-7-2021</v>
          </cell>
        </row>
        <row r="881">
          <cell r="B881" t="str">
            <v>https://doi.org/10.5194/isprs-archives-xliii-b4-2021-7-2021</v>
          </cell>
        </row>
        <row r="882">
          <cell r="B882" t="str">
            <v>https://doi.org/10.18260/1-2--17257</v>
          </cell>
        </row>
        <row r="883">
          <cell r="B883" t="str">
            <v>https://doi.org/10.1080/02664763.2024.2313459</v>
          </cell>
        </row>
        <row r="884">
          <cell r="B884" t="str">
            <v>https://doi.org/10.48550/arxiv.2410.12146</v>
          </cell>
        </row>
        <row r="885">
          <cell r="B885" t="str">
            <v>https://doi.org/10.1109/sege52446.2021.9534971</v>
          </cell>
        </row>
        <row r="886">
          <cell r="B886" t="str">
            <v>https://doi.org/10.1093/jjfinec/nbae004</v>
          </cell>
        </row>
        <row r="887">
          <cell r="B887" t="str">
            <v>https://doi.org/10.1109/hpcc64274.2024.00103</v>
          </cell>
        </row>
        <row r="888">
          <cell r="B888" t="str">
            <v>https://doi.org/10.1109/nssmicrtsd49126.2023.10337833</v>
          </cell>
        </row>
        <row r="889">
          <cell r="B889" t="str">
            <v>https://doi.org/10.1007/s13253-024-00637-7</v>
          </cell>
        </row>
        <row r="890">
          <cell r="B890" t="str">
            <v>https://doi.org/10.2139/ssrn.3781901</v>
          </cell>
        </row>
        <row r="891">
          <cell r="B891" t="str">
            <v>https://doi.org/10.22541/au.172734149.92670694/v1</v>
          </cell>
        </row>
        <row r="892">
          <cell r="B892" t="str">
            <v>https://doi.org/10.1109/jiot.2024.3506947</v>
          </cell>
        </row>
        <row r="893">
          <cell r="B893" t="str">
            <v>https://doi.org/10.5281/zenodo.5056914</v>
          </cell>
        </row>
        <row r="894">
          <cell r="B894" t="str">
            <v>https://doi.org/10.1101/2021.12.07.21267381</v>
          </cell>
        </row>
        <row r="895">
          <cell r="B895" t="str">
            <v>https://doi.org/10.1007/s10751-020-1703-7</v>
          </cell>
        </row>
        <row r="896">
          <cell r="B896" t="str">
            <v>https://doi.org/10.48550/arxiv.2204.14205</v>
          </cell>
        </row>
        <row r="897">
          <cell r="B897" t="str">
            <v>https://doi.org/10.5281/zenodo.5056915</v>
          </cell>
        </row>
        <row r="898">
          <cell r="B898" t="str">
            <v>https://doi.org/10.5194/egusphere-2024-2418-rc1</v>
          </cell>
        </row>
        <row r="899">
          <cell r="B899" t="str">
            <v>https://doi.org/10.1002/gepi.22579</v>
          </cell>
        </row>
        <row r="900">
          <cell r="B900" t="str">
            <v>https://doi.org/10.1515/jqas-2023-0091</v>
          </cell>
        </row>
        <row r="901">
          <cell r="B901" t="str">
            <v>https://doi.org/10.1101/2024.07.30.605891</v>
          </cell>
        </row>
        <row r="902">
          <cell r="B902" t="str">
            <v>https://doi.org/10.1103/physrevd.110.056020</v>
          </cell>
        </row>
        <row r="903">
          <cell r="B903" t="str">
            <v>https://doi.org/10.1109/ccece59415.2024.10667099</v>
          </cell>
        </row>
        <row r="904">
          <cell r="B904" t="str">
            <v>https://doi.org/10.1101/2021.12.18.473306</v>
          </cell>
        </row>
        <row r="905">
          <cell r="B905" t="str">
            <v>https://doi.org/10.23919/jcin.2024.10494943</v>
          </cell>
        </row>
        <row r="906">
          <cell r="B906" t="str">
            <v>https://doi.org/10.5281/zenodo.8299692</v>
          </cell>
        </row>
        <row r="907">
          <cell r="B907" t="str">
            <v>https://doi.org/10.1115/icef2020-2951</v>
          </cell>
        </row>
        <row r="908">
          <cell r="B908" t="str">
            <v>https://doi.org/10.1109/globecom52923.2024.10901456</v>
          </cell>
        </row>
        <row r="909">
          <cell r="B909" t="str">
            <v>https://doi.org/10.2172/2246939</v>
          </cell>
        </row>
        <row r="911">
          <cell r="B911" t="str">
            <v>https://doi.org/10.5194/egusphere-egu2020-5583</v>
          </cell>
        </row>
        <row r="912">
          <cell r="B912" t="str">
            <v>https://doi.org/10.5194/egusphere-egu24-13064</v>
          </cell>
        </row>
        <row r="913">
          <cell r="B913" t="str">
            <v>https://doi.org/10.1101/2021.05.10.443467</v>
          </cell>
        </row>
        <row r="914">
          <cell r="B914" t="str">
            <v>https://doi.org/10.2139/ssrn.4073489</v>
          </cell>
        </row>
        <row r="915">
          <cell r="B915" t="str">
            <v>https://doi.org/10.6084/m9.figshare.19228682</v>
          </cell>
        </row>
        <row r="916">
          <cell r="B916" t="str">
            <v>https://doi.org/10.1109/iolts60994.2024.10616090</v>
          </cell>
        </row>
        <row r="917">
          <cell r="B917" t="str">
            <v>https://doi.org/10.1101/2022.10.15.512197</v>
          </cell>
        </row>
        <row r="918">
          <cell r="B918" t="str">
            <v>https://doi.org/10.5194/isprs-archives-xliii-b4-2020-7-2020</v>
          </cell>
        </row>
        <row r="919">
          <cell r="B919" t="str">
            <v>https://doi.org/10.5194/isprs-annals-v-4-2020-7-2020</v>
          </cell>
        </row>
        <row r="920">
          <cell r="B920" t="str">
            <v>https://doi.org/10.1115/es2024-126891</v>
          </cell>
        </row>
        <row r="921">
          <cell r="B921" t="str">
            <v>https://doi.org/10.5281/zenodo.6341891</v>
          </cell>
        </row>
        <row r="922">
          <cell r="B922" t="str">
            <v>https://doi.org/10.1101/2024.05.29.596491</v>
          </cell>
        </row>
        <row r="923">
          <cell r="B923" t="str">
            <v>https://doi.org/10.5281/zenodo.6369360</v>
          </cell>
        </row>
        <row r="924">
          <cell r="B924" t="str">
            <v>https://doi.org/10.3847/1538-4357/ad53c5</v>
          </cell>
        </row>
        <row r="925">
          <cell r="B925" t="str">
            <v>https://doi.org/10.1109/iiswc50251.2020.00034</v>
          </cell>
        </row>
        <row r="926">
          <cell r="B926" t="str">
            <v>https://doi.org/10.5281/zenodo.5797034</v>
          </cell>
        </row>
        <row r="927">
          <cell r="B927" t="str">
            <v>https://doi.org/10.21203/rs.3.rs-1984045/v1</v>
          </cell>
        </row>
        <row r="928">
          <cell r="B928" t="str">
            <v>https://doi.org/10.5281/zenodo.5797035</v>
          </cell>
        </row>
        <row r="929">
          <cell r="B929" t="str">
            <v>https://doi.org/10.48550/arxiv.2308.12426</v>
          </cell>
        </row>
        <row r="930">
          <cell r="B930" t="str">
            <v>https://doi.org/10.21203/rs.3.rs-3319477/v1</v>
          </cell>
        </row>
        <row r="931">
          <cell r="B931" t="str">
            <v>https://doi.org/10.5194/egusphere-egu22-10860</v>
          </cell>
        </row>
        <row r="932">
          <cell r="B932" t="str">
            <v>https://doi.org/10.3389/fimmu.2024.1505032</v>
          </cell>
        </row>
        <row r="933">
          <cell r="B933" t="str">
            <v>https://doi.org/10.5194/bg-2022-168-cc1</v>
          </cell>
        </row>
        <row r="934">
          <cell r="B934" t="str">
            <v>https://doi.org/10.5194/bg-2022-168-ac2</v>
          </cell>
        </row>
        <row r="935">
          <cell r="B935" t="str">
            <v>https://doi.org/10.1016/j.bpj.2022.11.726</v>
          </cell>
        </row>
        <row r="936">
          <cell r="B936" t="str">
            <v>https://doi.org/10.1007/978-3-030-84474-5_12</v>
          </cell>
        </row>
        <row r="937">
          <cell r="B937" t="str">
            <v>https://doi.org/10.5194/egusphere-egu22-13502</v>
          </cell>
        </row>
        <row r="938">
          <cell r="B938" t="str">
            <v>https://doi.org/10.15626/mp.2018.1479</v>
          </cell>
        </row>
        <row r="939">
          <cell r="B939" t="str">
            <v>https://doi.org/10.1016/j.nima.2021.165092</v>
          </cell>
        </row>
        <row r="940">
          <cell r="B940" t="str">
            <v>https://doi.org/10.15626/mp.2021.2757</v>
          </cell>
        </row>
        <row r="941">
          <cell r="B941" t="str">
            <v>https://doi.org/10.5194/bg-2022-168-rc2</v>
          </cell>
        </row>
        <row r="942">
          <cell r="B942" t="str">
            <v>https://doi.org/10.36227/techrxiv.13150805.v2</v>
          </cell>
        </row>
        <row r="943">
          <cell r="B943" t="str">
            <v>https://doi.org/10.5194/bg-2022-168-ac3</v>
          </cell>
        </row>
        <row r="944">
          <cell r="B944" t="str">
            <v>https://doi.org/10.5194/bg-2022-168-rc1</v>
          </cell>
        </row>
        <row r="945">
          <cell r="B945" t="str">
            <v>https://doi.org/10.3389/fgene.2022.1065568</v>
          </cell>
        </row>
        <row r="946">
          <cell r="B946" t="str">
            <v>https://doi.org/10.36227/techrxiv.13150805</v>
          </cell>
        </row>
        <row r="947">
          <cell r="B947" t="str">
            <v>https://doi.org/10.5194/bg-2022-168-ac1</v>
          </cell>
        </row>
        <row r="948">
          <cell r="B948" t="str">
            <v>https://doi.org/10.1149/ma2020-02463820mtgabs</v>
          </cell>
        </row>
        <row r="949">
          <cell r="B949" t="str">
            <v>https://doi.org/10.1149/ma2022-01391762mtgabs</v>
          </cell>
        </row>
        <row r="950">
          <cell r="B950" t="str">
            <v>https://doi.org/10.7554/elife.82538.sa0</v>
          </cell>
        </row>
        <row r="951">
          <cell r="B951" t="str">
            <v>https://doi.org/10.3389/fcosc.2022.903132</v>
          </cell>
        </row>
        <row r="952">
          <cell r="B952" t="str">
            <v>https://doi.org/10.1002/jia2.26305</v>
          </cell>
        </row>
        <row r="953">
          <cell r="B953" t="str">
            <v>https://doi.org/10.7554/elife.76174.sa2</v>
          </cell>
        </row>
        <row r="954">
          <cell r="B954" t="str">
            <v>https://doi.org/10.1038/s41467-021-20901-5</v>
          </cell>
        </row>
        <row r="955">
          <cell r="B955" t="str">
            <v>https://doi.org/10.1051/0004-6361/201936386</v>
          </cell>
        </row>
        <row r="956">
          <cell r="B956" t="str">
            <v>https://doi.org/10.1051/0004-6361/202038073</v>
          </cell>
        </row>
        <row r="957">
          <cell r="B957" t="str">
            <v>https://doi.org/10.1002/adma.202004477</v>
          </cell>
        </row>
        <row r="958">
          <cell r="B958" t="str">
            <v>https://doi.org/10.1002/hyp.14198</v>
          </cell>
        </row>
        <row r="959">
          <cell r="B959" t="str">
            <v>https://doi.org/10.1029/2021gl096716</v>
          </cell>
        </row>
        <row r="960">
          <cell r="B960" t="str">
            <v>https://doi.org/10.1175/bams-d-22-0111.1</v>
          </cell>
        </row>
        <row r="961">
          <cell r="B961" t="str">
            <v>https://doi.org/10.1038/s41467-020-14352-7</v>
          </cell>
        </row>
        <row r="962">
          <cell r="B962" t="str">
            <v>https://doi.org/10.1016/j.nimb.2021.11.014</v>
          </cell>
        </row>
        <row r="963">
          <cell r="B963" t="str">
            <v>https://doi.org/10.5194/cp-18-1729-2022</v>
          </cell>
        </row>
        <row r="964">
          <cell r="B964" t="str">
            <v>https://doi.org/10.1002/adma.202108419</v>
          </cell>
        </row>
        <row r="965">
          <cell r="B965" t="str">
            <v>https://doi.org/10.1103/physrevc.101.025803</v>
          </cell>
        </row>
        <row r="966">
          <cell r="B966" t="str">
            <v>https://doi.org/10.5194/egusphere-2022-99</v>
          </cell>
        </row>
        <row r="967">
          <cell r="B967" t="str">
            <v>https://doi.org/10.1103/physrevresearch.6.l012008</v>
          </cell>
        </row>
        <row r="968">
          <cell r="B968" t="str">
            <v>https://doi.org/10.1103/physrevc.108.034601</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2"/>
      <sheetName val="rio results"/>
      <sheetName val="comparison"/>
    </sheetNames>
    <sheetDataSet>
      <sheetData sheetId="0">
        <row r="2">
          <cell r="B2" t="str">
            <v>https://doi.org/10.1038/s41467-021-21219-y</v>
          </cell>
        </row>
        <row r="3">
          <cell r="B3" t="str">
            <v>https://doi.org/10.1088/2631-8695/ac2353</v>
          </cell>
        </row>
        <row r="4">
          <cell r="B4" t="str">
            <v>https://doi.org/10.1126/sciadv.aba5847</v>
          </cell>
        </row>
        <row r="5">
          <cell r="B5" t="str">
            <v>https://doi.org/10.1038/s41598-020-75393-y</v>
          </cell>
        </row>
        <row r="6">
          <cell r="B6" t="str">
            <v>https://doi.org/10.1016/j.cossms.2022.101016</v>
          </cell>
        </row>
        <row r="7">
          <cell r="B7" t="str">
            <v>https://doi.org/10.1016/j.ensm.2021.05.011</v>
          </cell>
        </row>
        <row r="8">
          <cell r="B8" t="str">
            <v>https://doi.org/10.1016/j.ijhydene.2022.10.080</v>
          </cell>
        </row>
        <row r="9">
          <cell r="B9" t="str">
            <v>https://doi.org/10.1016/j.tips.2024.03.004</v>
          </cell>
        </row>
        <row r="10">
          <cell r="B10" t="str">
            <v>https://doi.org/10.1007/s13204-020-01542-4</v>
          </cell>
        </row>
        <row r="11">
          <cell r="B11" t="str">
            <v>https://doi.org/10.1016/j.addma.2022.103357</v>
          </cell>
        </row>
        <row r="12">
          <cell r="B12" t="str">
            <v>https://doi.org/10.1016/j.optmat.2021.111258</v>
          </cell>
        </row>
        <row r="13">
          <cell r="B13" t="str">
            <v>https://doi.org/10.1016/j.ijhydene.2021.02.077</v>
          </cell>
        </row>
        <row r="14">
          <cell r="B14" t="str">
            <v>https://doi.org/10.1016/j.electacta.2021.138358</v>
          </cell>
        </row>
        <row r="15">
          <cell r="B15" t="str">
            <v>https://doi.org/10.1039/d0dt03313h</v>
          </cell>
        </row>
        <row r="16">
          <cell r="B16" t="str">
            <v>https://doi.org/10.1016/j.matdes.2020.108797</v>
          </cell>
        </row>
        <row r="17">
          <cell r="B17" t="str">
            <v>https://doi.org/10.1016/j.est.2020.102020</v>
          </cell>
        </row>
        <row r="18">
          <cell r="B18" t="str">
            <v>https://doi.org/10.1002/adma.202002534</v>
          </cell>
        </row>
        <row r="19">
          <cell r="B19" t="str">
            <v>https://doi.org/10.1021/acssensors.4c01717</v>
          </cell>
        </row>
        <row r="20">
          <cell r="B20" t="str">
            <v>https://doi.org/10.1039/c9ra09628k</v>
          </cell>
        </row>
        <row r="21">
          <cell r="B21" t="str">
            <v>https://doi.org/10.3389/fphys.2020.00813</v>
          </cell>
        </row>
        <row r="22">
          <cell r="B22" t="str">
            <v>https://doi.org/10.1038/s41528-022-00139-x</v>
          </cell>
        </row>
        <row r="23">
          <cell r="B23" t="str">
            <v>https://doi.org/10.1002/adfm.202300973</v>
          </cell>
        </row>
        <row r="24">
          <cell r="B24" t="str">
            <v>https://doi.org/10.1016/j.carbon.2020.03.038</v>
          </cell>
        </row>
        <row r="25">
          <cell r="B25" t="str">
            <v>https://doi.org/10.1016/j.trac.2023.117223</v>
          </cell>
        </row>
        <row r="26">
          <cell r="B26" t="str">
            <v>https://doi.org/10.1177/0169796x221104855</v>
          </cell>
        </row>
        <row r="27">
          <cell r="B27" t="str">
            <v>https://doi.org/10.1038/s41598-022-19111-w</v>
          </cell>
        </row>
        <row r="28">
          <cell r="B28" t="str">
            <v>https://doi.org/10.1557/s43579-023-00480-w</v>
          </cell>
        </row>
        <row r="29">
          <cell r="B29" t="str">
            <v>https://doi.org/10.1002/admt.202201897</v>
          </cell>
        </row>
        <row r="30">
          <cell r="B30" t="str">
            <v>https://doi.org/10.1016/j.electacta.2022.141676</v>
          </cell>
        </row>
        <row r="31">
          <cell r="B31" t="str">
            <v>https://doi.org/10.1038/s41378-022-00465-0</v>
          </cell>
        </row>
        <row r="32">
          <cell r="B32" t="str">
            <v>https://doi.org/10.1021/acs.analchem.1c03393</v>
          </cell>
        </row>
        <row r="33">
          <cell r="B33" t="str">
            <v>https://doi.org/10.1021/acsnano.3c03593</v>
          </cell>
        </row>
        <row r="34">
          <cell r="B34" t="str">
            <v>https://doi.org/10.1039/d0mh00785d</v>
          </cell>
        </row>
        <row r="35">
          <cell r="B35" t="str">
            <v>https://doi.org/10.1021/acs.analchem.3c05190</v>
          </cell>
        </row>
        <row r="36">
          <cell r="B36" t="str">
            <v>https://doi.org/10.1016/j.isci.2022.104119</v>
          </cell>
        </row>
        <row r="37">
          <cell r="B37" t="str">
            <v>https://doi.org/10.1016/j.mser.2024.100876</v>
          </cell>
        </row>
        <row r="38">
          <cell r="B38" t="str">
            <v>https://doi.org/10.1088/1361-6528/acca8b</v>
          </cell>
        </row>
        <row r="39">
          <cell r="B39" t="str">
            <v>https://doi.org/10.1016/j.oceaneng.2024.119294</v>
          </cell>
        </row>
        <row r="40">
          <cell r="B40" t="str">
            <v>https://doi.org/10.3389/frobt.2020.573096</v>
          </cell>
        </row>
        <row r="41">
          <cell r="B41" t="str">
            <v>https://doi.org/10.1038/s44172-023-00097-w</v>
          </cell>
        </row>
        <row r="42">
          <cell r="B42" t="str">
            <v>https://doi.org/10.1063/5.0244878</v>
          </cell>
        </row>
        <row r="43">
          <cell r="B43" t="str">
            <v>https://doi.org/10.1039/d1ce00962a</v>
          </cell>
        </row>
        <row r="44">
          <cell r="B44" t="str">
            <v>https://doi.org/10.1002/admt.202201349</v>
          </cell>
        </row>
        <row r="45">
          <cell r="B45" t="str">
            <v>https://doi.org/10.1038/s41528-024-00309-z</v>
          </cell>
        </row>
        <row r="46">
          <cell r="B46" t="str">
            <v>https://doi.org/10.1016/j.ijhydene.2024.11.288</v>
          </cell>
        </row>
        <row r="47">
          <cell r="B47" t="str">
            <v>https://doi.org/10.1016/j.jpowsour.2020.228714</v>
          </cell>
        </row>
        <row r="48">
          <cell r="B48" t="str">
            <v>https://doi.org/10.1364/oe.417724</v>
          </cell>
        </row>
        <row r="49">
          <cell r="B49" t="str">
            <v>https://doi.org/10.1016/j.jmapro.2024.01.029</v>
          </cell>
        </row>
        <row r="50">
          <cell r="B50" t="str">
            <v>https://doi.org/10.1016/b978-0-12-823144-9.00069-8</v>
          </cell>
        </row>
        <row r="51">
          <cell r="B51" t="str">
            <v>https://doi.org/10.1002/er.6974</v>
          </cell>
        </row>
        <row r="52">
          <cell r="B52" t="str">
            <v>https://doi.org/10.1016/j.enggeo.2020.105693</v>
          </cell>
        </row>
        <row r="53">
          <cell r="B53" t="str">
            <v>https://doi.org/10.1021/acs.chemmater.1c03450</v>
          </cell>
        </row>
        <row r="54">
          <cell r="B54" t="str">
            <v>https://doi.org/10.1039/c9mh01782h</v>
          </cell>
        </row>
        <row r="55">
          <cell r="B55" t="str">
            <v>https://doi.org/10.1016/j.snb.2021.129527</v>
          </cell>
        </row>
        <row r="56">
          <cell r="B56" t="str">
            <v>https://doi.org/10.1021/acsaem.9b01754</v>
          </cell>
        </row>
        <row r="57">
          <cell r="B57" t="str">
            <v>https://doi.org/10.3390/s24082585</v>
          </cell>
        </row>
        <row r="58">
          <cell r="B58" t="str">
            <v>https://doi.org/10.1039/d4ey00104d</v>
          </cell>
        </row>
        <row r="59">
          <cell r="B59" t="str">
            <v>https://doi.org/10.1021/acs.accounts.4c00308</v>
          </cell>
        </row>
        <row r="60">
          <cell r="B60" t="str">
            <v>https://doi.org/10.1016/j.ijfatigue.2020.105697</v>
          </cell>
        </row>
        <row r="61">
          <cell r="B61" t="str">
            <v>https://doi.org/10.1021/acsaem.0c00069</v>
          </cell>
        </row>
        <row r="62">
          <cell r="B62" t="str">
            <v>https://doi.org/10.1063/5.0020661</v>
          </cell>
        </row>
        <row r="63">
          <cell r="B63" t="str">
            <v>https://doi.org/10.1016/j.matdes.2023.112332</v>
          </cell>
        </row>
        <row r="64">
          <cell r="B64" t="str">
            <v>https://doi.org/10.1111/1365-2435.13621</v>
          </cell>
        </row>
        <row r="65">
          <cell r="B65" t="str">
            <v>https://doi.org/10.1002/aisy.202200189</v>
          </cell>
        </row>
        <row r="66">
          <cell r="B66" t="str">
            <v>https://doi.org/10.3390/s21175947</v>
          </cell>
        </row>
        <row r="67">
          <cell r="B67" t="str">
            <v>https://doi.org/10.1063/5.0081185</v>
          </cell>
        </row>
        <row r="68">
          <cell r="B68" t="str">
            <v>https://doi.org/10.1016/j.jpowsour.2024.235537</v>
          </cell>
        </row>
        <row r="69">
          <cell r="B69" t="str">
            <v>https://doi.org/10.1039/c9tc06454k</v>
          </cell>
        </row>
        <row r="70">
          <cell r="B70" t="str">
            <v>https://doi.org/10.1038/s41699-023-00433-w</v>
          </cell>
        </row>
        <row r="71">
          <cell r="B71" t="str">
            <v>https://doi.org/10.1088/1361-6528/ab72b6</v>
          </cell>
        </row>
        <row r="72">
          <cell r="B72" t="str">
            <v>https://doi.org/10.3390/s21010225</v>
          </cell>
        </row>
        <row r="73">
          <cell r="B73" t="str">
            <v>https://doi.org/10.1016/j.clet.2020.100024</v>
          </cell>
        </row>
        <row r="74">
          <cell r="B74" t="str">
            <v>https://doi.org/10.1016/j.powtec.2020.04.031</v>
          </cell>
        </row>
        <row r="75">
          <cell r="B75" t="str">
            <v>https://doi.org/10.1177/0169796x221104856</v>
          </cell>
        </row>
        <row r="76">
          <cell r="B76" t="str">
            <v>https://doi.org/10.1002/adsr.202300003</v>
          </cell>
        </row>
        <row r="77">
          <cell r="B77" t="str">
            <v>https://doi.org/10.1021/acs.jpcc.0c09527</v>
          </cell>
        </row>
        <row r="78">
          <cell r="B78" t="str">
            <v>https://doi.org/10.1002/celc.202200161</v>
          </cell>
        </row>
        <row r="79">
          <cell r="B79" t="str">
            <v>https://doi.org/10.1002/adfm.202305733</v>
          </cell>
        </row>
        <row r="80">
          <cell r="B80" t="str">
            <v>https://doi.org/10.1149/1945-7111/abc99e</v>
          </cell>
        </row>
        <row r="81">
          <cell r="B81" t="str">
            <v>https://doi.org/10.3390/ma17133306</v>
          </cell>
        </row>
        <row r="82">
          <cell r="B82" t="str">
            <v>https://doi.org/10.1111/poms.13605</v>
          </cell>
        </row>
        <row r="83">
          <cell r="B83" t="str">
            <v>https://doi.org/10.1088/2058-8585/acb722</v>
          </cell>
        </row>
        <row r="84">
          <cell r="B84" t="str">
            <v>https://doi.org/10.1016/j.sna.2020.112045</v>
          </cell>
        </row>
        <row r="85">
          <cell r="B85" t="str">
            <v>https://doi.org/10.3390/nano13010018</v>
          </cell>
        </row>
        <row r="86">
          <cell r="B86" t="str">
            <v>https://doi.org/10.1016/j.mtcomm.2024.109928</v>
          </cell>
        </row>
        <row r="87">
          <cell r="B87" t="str">
            <v>https://doi.org/10.1016/j.jallcom.2024.174816</v>
          </cell>
        </row>
        <row r="88">
          <cell r="B88" t="str">
            <v>https://doi.org/10.1016/j.matdes.2024.113535</v>
          </cell>
        </row>
        <row r="89">
          <cell r="B89" t="str">
            <v>https://doi.org/10.1039/d0nr08652e</v>
          </cell>
        </row>
        <row r="90">
          <cell r="B90" t="str">
            <v>https://doi.org/10.1021/acsami.0c00724</v>
          </cell>
        </row>
        <row r="91">
          <cell r="B91" t="str">
            <v>https://doi.org/10.1134/s1063776120070080</v>
          </cell>
        </row>
        <row r="92">
          <cell r="B92" t="str">
            <v>https://doi.org/10.1021/acs.macromol.1c01613</v>
          </cell>
        </row>
        <row r="93">
          <cell r="B93" t="str">
            <v>https://doi.org/10.1016/j.tsf.2020.138206</v>
          </cell>
        </row>
        <row r="94">
          <cell r="B94" t="str">
            <v>https://doi.org/10.1063/5.0106934</v>
          </cell>
        </row>
        <row r="95">
          <cell r="B95" t="str">
            <v>https://doi.org/10.1098/rsos.210141</v>
          </cell>
        </row>
        <row r="96">
          <cell r="B96" t="str">
            <v>https://doi.org/10.1115/1.4055149</v>
          </cell>
        </row>
        <row r="97">
          <cell r="B97" t="str">
            <v>https://doi.org/10.1063/5.0175532</v>
          </cell>
        </row>
        <row r="98">
          <cell r="B98" t="str">
            <v>https://doi.org/10.1016/j.jasrep.2022.103800</v>
          </cell>
        </row>
        <row r="99">
          <cell r="B99" t="str">
            <v>https://doi.org/10.3390/cryst10121109</v>
          </cell>
        </row>
        <row r="100">
          <cell r="B100" t="str">
            <v>https://doi.org/10.1016/j.ijheatmasstransfer.2021.122098</v>
          </cell>
        </row>
        <row r="101">
          <cell r="B101" t="str">
            <v>https://doi.org/10.1145/3544548.3581024</v>
          </cell>
        </row>
        <row r="102">
          <cell r="B102" t="str">
            <v>https://doi.org/10.1039/d1ma00847a</v>
          </cell>
        </row>
        <row r="103">
          <cell r="B103" t="str">
            <v>https://doi.org/10.1137/22m1506985</v>
          </cell>
        </row>
        <row r="104">
          <cell r="B104" t="str">
            <v>https://doi.org/10.1080/00207721.2024.2408526</v>
          </cell>
        </row>
        <row r="105">
          <cell r="B105" t="str">
            <v>https://doi.org/10.1038/s41467-024-51024-2</v>
          </cell>
        </row>
        <row r="106">
          <cell r="B106" t="str">
            <v>https://doi.org/10.1103/physrevresearch.6.033055</v>
          </cell>
        </row>
        <row r="107">
          <cell r="B107" t="str">
            <v>https://doi.org/10.1016/j.sna.2023.114728</v>
          </cell>
        </row>
        <row r="108">
          <cell r="B108" t="str">
            <v>https://doi.org/10.1016/j.matchemphys.2022.126272</v>
          </cell>
        </row>
        <row r="109">
          <cell r="B109" t="str">
            <v>https://doi.org/10.1016/b978-0-08-102795-0.00003-7</v>
          </cell>
        </row>
        <row r="110">
          <cell r="B110" t="str">
            <v>https://doi.org/10.1177/0169796x221107217</v>
          </cell>
        </row>
        <row r="111">
          <cell r="B111" t="str">
            <v>https://doi.org/10.1103/physrevb.103.054201</v>
          </cell>
        </row>
        <row r="112">
          <cell r="B112" t="str">
            <v>https://doi.org/10.1016/j.actbio.2024.10.029</v>
          </cell>
        </row>
        <row r="113">
          <cell r="B113" t="str">
            <v>https://doi.org/10.1021/acsaem.2c01548</v>
          </cell>
        </row>
        <row r="114">
          <cell r="B114" t="str">
            <v>https://doi.org/10.1016/j.aquatox.2023.106640</v>
          </cell>
        </row>
        <row r="115">
          <cell r="B115" t="str">
            <v>https://doi.org/10.1101/2020.02.24.963421</v>
          </cell>
        </row>
        <row r="116">
          <cell r="B116" t="str">
            <v>https://doi.org/10.1002/aisy.202300015</v>
          </cell>
        </row>
        <row r="117">
          <cell r="B117" t="str">
            <v>https://doi.org/10.1109/wifs53200.2021.9648379</v>
          </cell>
        </row>
        <row r="118">
          <cell r="B118" t="str">
            <v>https://doi.org/10.1103/physrevlett.131.049701</v>
          </cell>
        </row>
        <row r="119">
          <cell r="B119" t="str">
            <v>https://doi.org/10.1016/b978-0-12-818475-2.00002-7</v>
          </cell>
        </row>
        <row r="120">
          <cell r="B120" t="str">
            <v>https://doi.org/10.1016/j.nanoen.2021.106280</v>
          </cell>
        </row>
        <row r="121">
          <cell r="B121" t="str">
            <v>https://doi.org/10.1007/s13233-024-00261-x</v>
          </cell>
        </row>
        <row r="122">
          <cell r="B122" t="str">
            <v>https://doi.org/10.1002/batt.202300367</v>
          </cell>
        </row>
        <row r="123">
          <cell r="B123" t="str">
            <v>https://doi.org/10.1002/aisy.202100003</v>
          </cell>
        </row>
        <row r="124">
          <cell r="B124" t="str">
            <v>https://doi.org/10.1088/1748-0221/17/11/c11002</v>
          </cell>
        </row>
        <row r="125">
          <cell r="B125" t="str">
            <v>https://doi.org/10.1016/j.jallcom.2024.176341</v>
          </cell>
        </row>
        <row r="126">
          <cell r="B126" t="str">
            <v>https://doi.org/10.1021/acsami.4c01045</v>
          </cell>
        </row>
        <row r="127">
          <cell r="B127" t="str">
            <v>https://doi.org/10.1016/j.enconman.2024.118780</v>
          </cell>
        </row>
        <row r="128">
          <cell r="B128" t="str">
            <v>https://doi.org/10.1007/s10924-024-03300-x</v>
          </cell>
        </row>
        <row r="129">
          <cell r="B129" t="str">
            <v>https://doi.org/10.1002/adma.202170148</v>
          </cell>
        </row>
        <row r="130">
          <cell r="B130" t="str">
            <v>https://doi.org/10.1103/physrevb.109.224421</v>
          </cell>
        </row>
        <row r="131">
          <cell r="B131" t="str">
            <v>https://doi.org/10.1016/j.ceramint.2024.02.223</v>
          </cell>
        </row>
        <row r="132">
          <cell r="B132" t="str">
            <v>https://doi.org/10.1111/rssc.12572</v>
          </cell>
        </row>
        <row r="133">
          <cell r="B133" t="str">
            <v>https://doi.org/10.1080/00207543.2020.1735656</v>
          </cell>
        </row>
        <row r="134">
          <cell r="B134" t="str">
            <v>https://doi.org/10.20944/preprints202406.0404.v1</v>
          </cell>
        </row>
        <row r="135">
          <cell r="B135" t="str">
            <v>https://doi.org/10.1111/sjtg.12539</v>
          </cell>
        </row>
        <row r="136">
          <cell r="B136" t="str">
            <v>https://doi.org/10.1109/fleps57599.2023.10220223</v>
          </cell>
        </row>
        <row r="137">
          <cell r="B137" t="str">
            <v>https://doi.org/10.1115/detc2024-142944</v>
          </cell>
        </row>
        <row r="138">
          <cell r="B138" t="str">
            <v>https://doi.org/10.1088/1361-6528/ad0410</v>
          </cell>
        </row>
        <row r="139">
          <cell r="B139" t="str">
            <v>https://doi.org/10.1021/acs.chas.3c00072</v>
          </cell>
        </row>
        <row r="140">
          <cell r="B140" t="str">
            <v>https://doi.org/10.1103/physrevapplied.22.024058</v>
          </cell>
        </row>
        <row r="141">
          <cell r="B141" t="str">
            <v>https://doi.org/10.1109/jflex.2023.3237991</v>
          </cell>
        </row>
        <row r="142">
          <cell r="B142" t="str">
            <v>https://doi.org/10.3390/bioengineering10030326</v>
          </cell>
        </row>
        <row r="143">
          <cell r="B143" t="str">
            <v>https://doi.org/10.1109/mems49605.2023.10052235</v>
          </cell>
        </row>
        <row r="144">
          <cell r="B144" t="str">
            <v>https://doi.org/10.1149/ma2023-02371770mtgabs</v>
          </cell>
        </row>
        <row r="145">
          <cell r="B145" t="str">
            <v>https://doi.org/10.1002/solr.202100992</v>
          </cell>
        </row>
        <row r="146">
          <cell r="B146" t="str">
            <v>https://doi.org/10.1139/cjc-2023-0232</v>
          </cell>
        </row>
        <row r="147">
          <cell r="B147" t="str">
            <v>https://doi.org/10.1016/j.supflu.2023.105939</v>
          </cell>
        </row>
        <row r="148">
          <cell r="B148" t="str">
            <v>https://doi.org/10.3389/frai.2023.1137961</v>
          </cell>
        </row>
        <row r="149">
          <cell r="B149" t="str">
            <v>https://doi.org/10.1109/edtm53872.2022.9797966</v>
          </cell>
        </row>
        <row r="150">
          <cell r="B150" t="str">
            <v>https://doi.org/10.1109/lsens.2024.3509373</v>
          </cell>
        </row>
        <row r="151">
          <cell r="B151" t="str">
            <v>https://doi.org/10.1145/3670947.3670960</v>
          </cell>
        </row>
        <row r="152">
          <cell r="B152" t="str">
            <v>https://doi.org/10.1103/physrevb.110.064401</v>
          </cell>
        </row>
        <row r="153">
          <cell r="B153" t="str">
            <v>https://doi.org/10.1002/adem.202100048</v>
          </cell>
        </row>
        <row r="154">
          <cell r="B154" t="str">
            <v>https://doi.org/10.26434/chemrxiv-2021-lj2bz</v>
          </cell>
        </row>
        <row r="155">
          <cell r="B155" t="str">
            <v>https://doi.org/10.1109/sensors60989.2024.10784982</v>
          </cell>
        </row>
        <row r="156">
          <cell r="B156" t="str">
            <v>https://doi.org/10.1021/acsnano.0c03466</v>
          </cell>
        </row>
        <row r="157">
          <cell r="B157" t="str">
            <v>https://doi.org/10.1117/12.3003941</v>
          </cell>
        </row>
        <row r="158">
          <cell r="B158" t="str">
            <v>https://doi.org/10.1149/ma2020-01302305mtgabs</v>
          </cell>
        </row>
        <row r="159">
          <cell r="B159" t="str">
            <v>https://doi.org/10.1016/j.envres.2022.115201</v>
          </cell>
        </row>
        <row r="160">
          <cell r="B160" t="str">
            <v>https://doi.org/10.1149/ma2022-01412468mtgabs</v>
          </cell>
        </row>
        <row r="161">
          <cell r="B161" t="str">
            <v>https://doi.org/10.1109/fleps57599.2023.10220417</v>
          </cell>
        </row>
        <row r="162">
          <cell r="B162" t="str">
            <v>https://doi.org/10.1016/b978-0-323-95478-5.00044-3</v>
          </cell>
        </row>
        <row r="163">
          <cell r="B163" t="str">
            <v>https://doi.org/10.2139/ssrn.4834657</v>
          </cell>
        </row>
        <row r="164">
          <cell r="B164" t="str">
            <v>https://doi.org/10.1149/ma2020-01462626mtgabs</v>
          </cell>
        </row>
        <row r="165">
          <cell r="B165" t="str">
            <v>https://doi.org/10.1115/detc2022-89511</v>
          </cell>
        </row>
        <row r="166">
          <cell r="B166" t="str">
            <v>https://doi.org/10.48550/arxiv.2212.01137</v>
          </cell>
        </row>
        <row r="167">
          <cell r="B167" t="str">
            <v>https://doi.org/10.1016/j.renene.2024.121338</v>
          </cell>
        </row>
        <row r="168">
          <cell r="B168" t="str">
            <v>https://doi.org/10.29363/nanoge.matsus.2024.301</v>
          </cell>
        </row>
        <row r="169">
          <cell r="B169" t="str">
            <v>https://doi.org/10.29363/nanoge.matsus.2024.316</v>
          </cell>
        </row>
        <row r="170">
          <cell r="B170" t="str">
            <v>https://doi.org/10.1016/j.energy.2024.132617</v>
          </cell>
        </row>
        <row r="171">
          <cell r="B171" t="str">
            <v>https://doi.org/10.1149/ma2020-02352253mtgabs</v>
          </cell>
        </row>
        <row r="172">
          <cell r="B172" t="str">
            <v>https://doi.org/10.1109/ifetc53656.2022.9948498</v>
          </cell>
        </row>
        <row r="173">
          <cell r="B173" t="str">
            <v>https://doi.org/10.1109/nmdc50713.2021.9677477</v>
          </cell>
        </row>
        <row r="174">
          <cell r="B174" t="str">
            <v>https://doi.org/10.48550/arxiv.2407.17575</v>
          </cell>
        </row>
        <row r="175">
          <cell r="B175" t="str">
            <v>https://doi.org/10.1103/physrevb.110.104429</v>
          </cell>
        </row>
        <row r="176">
          <cell r="B176" t="str">
            <v>https://doi.org/10.33774/chemrxiv-2021-lj2bz</v>
          </cell>
        </row>
        <row r="177">
          <cell r="B177" t="str">
            <v>https://doi.org/10.1149/ma2022-02401481mtgabs</v>
          </cell>
        </row>
        <row r="178">
          <cell r="B178" t="str">
            <v>https://doi.org/10.1149/ma2022-0113925mtgabs</v>
          </cell>
        </row>
        <row r="179">
          <cell r="B179" t="str">
            <v>https://doi.org/10.1149/ma2022-02401482mtgabs</v>
          </cell>
        </row>
        <row r="180">
          <cell r="B180" t="str">
            <v>https://doi.org/10.1149/ma2022-01552300mtgabs</v>
          </cell>
        </row>
        <row r="181">
          <cell r="B181" t="str">
            <v>https://doi.org/10.1016/b978-0-12-823708-3.00005-5</v>
          </cell>
        </row>
        <row r="182">
          <cell r="B182" t="str">
            <v>https://doi.org/10.1117/12.3003437</v>
          </cell>
        </row>
        <row r="183">
          <cell r="B183" t="str">
            <v>https://doi.org/10.2139/ssrn.4877451</v>
          </cell>
        </row>
        <row r="184">
          <cell r="B184" t="str">
            <v>https://doi.org/10.1101/2024.07.12.599409</v>
          </cell>
        </row>
        <row r="185">
          <cell r="B185" t="str">
            <v>https://doi.org/10.1115/1.4066889</v>
          </cell>
        </row>
        <row r="186">
          <cell r="B186" t="str">
            <v>https://doi.org/10.1115/gt2024-125961</v>
          </cell>
        </row>
        <row r="187">
          <cell r="B187" t="str">
            <v>https://doi.org/10.22541/au.170670450.06565845/v1</v>
          </cell>
        </row>
        <row r="188">
          <cell r="B188" t="str">
            <v>https://doi.org/10.1149/ma2022-01552295mtgabs</v>
          </cell>
        </row>
        <row r="189">
          <cell r="B189" t="str">
            <v>https://doi.org/10.1149/ma2022-01532200mtgabs</v>
          </cell>
        </row>
        <row r="190">
          <cell r="B190" t="str">
            <v>https://doi.org/10.1149/ma2020-02332130mtgabs</v>
          </cell>
        </row>
        <row r="191">
          <cell r="B191" t="str">
            <v>https://doi.org/10.1109/jflex.2024.3408001</v>
          </cell>
        </row>
        <row r="192">
          <cell r="B192" t="str">
            <v>https://doi.org/10.1149/ma2023-02391922mtgabs</v>
          </cell>
        </row>
        <row r="193">
          <cell r="B193" t="str">
            <v>https://doi.org/10.1149/ma2022-02431616mtgabs</v>
          </cell>
        </row>
        <row r="194">
          <cell r="B194" t="str">
            <v>https://doi.org/10.1149/ma2023-02391920mtgabs</v>
          </cell>
        </row>
        <row r="195">
          <cell r="B195" t="str">
            <v>https://doi.org/10.1149/ma2020-02372361mtgabs</v>
          </cell>
        </row>
        <row r="196">
          <cell r="B196" t="str">
            <v>https://doi.org/10.1149/ma2022-01351418mtgabs</v>
          </cell>
        </row>
        <row r="197">
          <cell r="B197" t="str">
            <v>https://doi.org/10.1149/ma2023-02381818mtgabs</v>
          </cell>
        </row>
        <row r="198">
          <cell r="B198" t="str">
            <v>https://doi.org/10.1149/ma2020-02352257mtgabs</v>
          </cell>
        </row>
        <row r="199">
          <cell r="B199" t="str">
            <v>https://doi.org/10.1149/ma2022-02391413mtgabs</v>
          </cell>
        </row>
        <row r="200">
          <cell r="B200" t="str">
            <v>https://doi.org/10.21203/rs.3.rs-3884985/v1</v>
          </cell>
        </row>
      </sheetData>
      <sheetData sheetId="1">
        <row r="2">
          <cell r="M2" t="str">
            <v>10.1038/s41467-021-21219-y</v>
          </cell>
        </row>
        <row r="3">
          <cell r="M3" t="str">
            <v>10.1136/bmj.m772</v>
          </cell>
        </row>
        <row r="4">
          <cell r="M4" t="str">
            <v>10.1038/s41586-022-04821-y</v>
          </cell>
        </row>
        <row r="5">
          <cell r="M5" t="str">
            <v>10.1039/d3ta06953b</v>
          </cell>
        </row>
        <row r="6">
          <cell r="M6" t="str">
            <v>10.1088/2631-8695/ac2353</v>
          </cell>
        </row>
        <row r="7">
          <cell r="M7" t="str">
            <v>10.1088/2515-7639/acc550</v>
          </cell>
        </row>
        <row r="8">
          <cell r="M8" t="str">
            <v>10.2967/jnumed.120.261016</v>
          </cell>
        </row>
        <row r="9">
          <cell r="M9" t="str">
            <v>10.1038/s43586-021-00089-0</v>
          </cell>
        </row>
        <row r="10">
          <cell r="M10" t="str">
            <v>10.1126/sciadv.aba5847</v>
          </cell>
        </row>
        <row r="11">
          <cell r="M11" t="str">
            <v>10.1093/wbro/lkaa001</v>
          </cell>
        </row>
        <row r="12">
          <cell r="M12" t="str">
            <v>10.1186/s41181-021-00121-4</v>
          </cell>
        </row>
        <row r="13">
          <cell r="M13" t="str">
            <v>10.1016/j.addma.2022.103357</v>
          </cell>
        </row>
        <row r="14">
          <cell r="M14" t="str">
            <v>10.1016/j.cossms.2022.101016</v>
          </cell>
        </row>
        <row r="15">
          <cell r="M15" t="str">
            <v>10.14778/3447689.3447700</v>
          </cell>
        </row>
        <row r="16">
          <cell r="M16" t="str">
            <v>10.1038/s41598-020-75393-y</v>
          </cell>
        </row>
        <row r="17">
          <cell r="M17" t="str">
            <v>10.1021/acscatal.9b04347</v>
          </cell>
        </row>
        <row r="18">
          <cell r="M18" t="str">
            <v>10.1109/TEM.2019.2893133</v>
          </cell>
        </row>
        <row r="19">
          <cell r="M19" t="str">
            <v>10.1007/s13204-020-01542-4</v>
          </cell>
        </row>
        <row r="20">
          <cell r="M20" t="str">
            <v>10.1016/j.tips.2024.03.004</v>
          </cell>
        </row>
        <row r="21">
          <cell r="M21" t="str">
            <v>10.1002/adfm.202203300</v>
          </cell>
        </row>
        <row r="22">
          <cell r="M22" t="str">
            <v>10.1016/j.electacta.2019.135575</v>
          </cell>
        </row>
        <row r="23">
          <cell r="M23" t="str">
            <v>10.1007/s42242-021-00171-2</v>
          </cell>
        </row>
        <row r="24">
          <cell r="M24" t="str">
            <v>10.1111/dar.13370</v>
          </cell>
        </row>
        <row r="25">
          <cell r="M25" t="str">
            <v>10.1145/3357236.3395569</v>
          </cell>
        </row>
        <row r="26">
          <cell r="M26" t="str">
            <v>10.1016/j.ijhydene.2022.10.080</v>
          </cell>
        </row>
        <row r="27">
          <cell r="M27" t="str">
            <v>10.1016/j.matdes.2020.108797</v>
          </cell>
        </row>
        <row r="28">
          <cell r="M28" t="str">
            <v>10.1016/j.ijhydene.2021.02.077</v>
          </cell>
        </row>
        <row r="29">
          <cell r="M29" t="str">
            <v>10.1039/d0dt03313h</v>
          </cell>
        </row>
        <row r="30">
          <cell r="M30" t="str">
            <v>10.1016/j.optmat.2021.111258</v>
          </cell>
        </row>
        <row r="31">
          <cell r="M31" t="str">
            <v>10.1016/j.electacta.2021.138358</v>
          </cell>
        </row>
        <row r="32">
          <cell r="M32" t="str">
            <v>10.1002/adma.202002534</v>
          </cell>
        </row>
        <row r="33">
          <cell r="M33" t="str">
            <v>10.1016/j.est.2020.102020</v>
          </cell>
        </row>
        <row r="34">
          <cell r="M34" t="str">
            <v>10.1016/j.seta.2022.102196</v>
          </cell>
        </row>
        <row r="35">
          <cell r="M35" t="str">
            <v>10.1016/j.nanoen.2024.109504</v>
          </cell>
        </row>
        <row r="36">
          <cell r="M36" t="str">
            <v>10.1039/c9ra09628k</v>
          </cell>
        </row>
        <row r="37">
          <cell r="M37" t="str">
            <v>10.1177/0169796X221104855</v>
          </cell>
        </row>
        <row r="38">
          <cell r="M38" t="str">
            <v>10.1021/acscentsci.1c01108</v>
          </cell>
        </row>
        <row r="39">
          <cell r="M39" t="str">
            <v>10.1007/978-3-030-58568-6_21</v>
          </cell>
        </row>
        <row r="40">
          <cell r="M40" t="str">
            <v>10.1021/acssensors.4c01717</v>
          </cell>
        </row>
        <row r="41">
          <cell r="M41" t="str">
            <v>10.1038/s41565-022-01280-4</v>
          </cell>
        </row>
        <row r="42">
          <cell r="M42" t="str">
            <v>10.1002/admt.202000938</v>
          </cell>
        </row>
        <row r="43">
          <cell r="M43" t="str">
            <v>10.1038/s41528-022-00139-x</v>
          </cell>
        </row>
        <row r="44">
          <cell r="M44" t="str">
            <v>10.1016/j.carbon.2020.03.038</v>
          </cell>
        </row>
        <row r="45">
          <cell r="M45" t="str">
            <v>10.1007/s10816-020-09445-y</v>
          </cell>
        </row>
        <row r="46">
          <cell r="M46" t="str">
            <v>10.1016/j.ejor.2020.01.061</v>
          </cell>
        </row>
        <row r="47">
          <cell r="M47" t="str">
            <v>10.3389/fphys.2020.00813</v>
          </cell>
        </row>
        <row r="48">
          <cell r="M48" t="str">
            <v>10.1088/1402-4896/ac2024</v>
          </cell>
        </row>
        <row r="49">
          <cell r="M49" t="str">
            <v>10.1093/police/paaa040</v>
          </cell>
        </row>
        <row r="50">
          <cell r="M50" t="str">
            <v>10.1016/j.trac.2023.117223</v>
          </cell>
        </row>
        <row r="51">
          <cell r="M51" t="str">
            <v>10.1021/acsaelm.1c00296</v>
          </cell>
        </row>
        <row r="52">
          <cell r="M52" t="str">
            <v>10.1038/s41598-022-19111-w</v>
          </cell>
        </row>
        <row r="53">
          <cell r="M53" t="str">
            <v>10.1021/acsnano.3c03593</v>
          </cell>
        </row>
        <row r="54">
          <cell r="M54" t="str">
            <v>10.1016/j.electacta.2022.141676</v>
          </cell>
        </row>
        <row r="55">
          <cell r="M55" t="str">
            <v>10.1016/j.enggeo.2021.106238</v>
          </cell>
        </row>
        <row r="56">
          <cell r="M56" t="str">
            <v>10.1002/admt.202201897</v>
          </cell>
        </row>
        <row r="57">
          <cell r="M57" t="str">
            <v>10.1021/acs.analchem.1c03393</v>
          </cell>
        </row>
        <row r="58">
          <cell r="M58" t="str">
            <v>10.1016/j.apsusc.2021.150126</v>
          </cell>
        </row>
        <row r="59">
          <cell r="M59" t="str">
            <v>10.1149/1945-7111/abc99e</v>
          </cell>
        </row>
        <row r="60">
          <cell r="M60" t="str">
            <v>10.1557/s43579-023-00480-w</v>
          </cell>
        </row>
        <row r="61">
          <cell r="M61" t="str">
            <v>10.1038/s41378-022-00465-0</v>
          </cell>
        </row>
        <row r="62">
          <cell r="M62" t="str">
            <v>10.1093/annweh/wxaa001</v>
          </cell>
        </row>
        <row r="63">
          <cell r="M63" t="str">
            <v>10.1088/1361-6528/acca8b</v>
          </cell>
        </row>
        <row r="64">
          <cell r="M64" t="str">
            <v>10.1016/j.enconman.2021.114805</v>
          </cell>
        </row>
        <row r="65">
          <cell r="M65" t="str">
            <v>10.1039/d0mh00785d</v>
          </cell>
        </row>
        <row r="66">
          <cell r="M66" t="str">
            <v>10.1021/acs.analchem.3c05190</v>
          </cell>
        </row>
        <row r="67">
          <cell r="M67" t="str">
            <v>10.3390/en16196809</v>
          </cell>
        </row>
        <row r="68">
          <cell r="M68" t="str">
            <v>10.1016/j.isci.2022.104119</v>
          </cell>
        </row>
        <row r="69">
          <cell r="M69" t="str">
            <v>10.1007/s10346-020-01552-x</v>
          </cell>
        </row>
        <row r="70">
          <cell r="M70" t="str">
            <v>10.1016/j.oceaneng.2024.119294</v>
          </cell>
        </row>
        <row r="71">
          <cell r="M71" t="str">
            <v>10.3389/frobt.2020.573096</v>
          </cell>
        </row>
        <row r="72">
          <cell r="M72" t="str">
            <v>10.1016/j.jcat.2023.04.008</v>
          </cell>
        </row>
        <row r="73">
          <cell r="M73" t="str">
            <v>10.1016/j.aquatox.2020.105446</v>
          </cell>
        </row>
        <row r="74">
          <cell r="M74" t="str">
            <v>10.1038/s44172-023-00097-w</v>
          </cell>
        </row>
        <row r="75">
          <cell r="M75" t="str">
            <v>10.1038/s41598-023-37313-8</v>
          </cell>
        </row>
        <row r="76">
          <cell r="M76" t="str">
            <v>10.1002/admt.202201349</v>
          </cell>
        </row>
        <row r="77">
          <cell r="M77" t="str">
            <v>10.3389/fimmu.2022.1074740</v>
          </cell>
        </row>
        <row r="78">
          <cell r="M78" t="str">
            <v>10.1039/d1ce00962a</v>
          </cell>
        </row>
        <row r="79">
          <cell r="M79" t="str">
            <v>10.1111/risa.13834</v>
          </cell>
        </row>
        <row r="80">
          <cell r="M80" t="str">
            <v>10.1016/j.jpowsour.2020.228714</v>
          </cell>
        </row>
        <row r="81">
          <cell r="M81" t="str">
            <v>10.1021/acsnano.0c03466</v>
          </cell>
        </row>
        <row r="82">
          <cell r="M82" t="str">
            <v>10.1016/j.ecoenv.2023.115227</v>
          </cell>
        </row>
        <row r="83">
          <cell r="M83" t="str">
            <v>10.1016/j.energy.2021.123050</v>
          </cell>
        </row>
        <row r="84">
          <cell r="M84" t="str">
            <v>10.1145/3414685.3417772</v>
          </cell>
        </row>
        <row r="85">
          <cell r="M85" t="str">
            <v>10.5210/FM.V25I9.10801</v>
          </cell>
        </row>
        <row r="86">
          <cell r="M86" t="str">
            <v>10.1016/j.enggeo.2020.105693</v>
          </cell>
        </row>
        <row r="87">
          <cell r="M87" t="str">
            <v>10.1016/j.omtm.2020.01.009</v>
          </cell>
        </row>
        <row r="88">
          <cell r="M88" t="str">
            <v>10.1051/meca/2020068</v>
          </cell>
        </row>
        <row r="89">
          <cell r="M89" t="str">
            <v>10.1021/acsestwater.3c00275</v>
          </cell>
        </row>
        <row r="90">
          <cell r="M90" t="str">
            <v>10.1002/er.6974</v>
          </cell>
        </row>
        <row r="91">
          <cell r="M91" t="str">
            <v>10.1364/OE.417724</v>
          </cell>
        </row>
        <row r="92">
          <cell r="M92" t="str">
            <v>10.1038/s41528-024-00309-z</v>
          </cell>
        </row>
        <row r="93">
          <cell r="M93" t="str">
            <v>10.1063/5.0244878</v>
          </cell>
        </row>
        <row r="94">
          <cell r="M94" t="str">
            <v>10.3390/s24082585</v>
          </cell>
        </row>
        <row r="95">
          <cell r="M95" t="str">
            <v>10.3390/su15054250</v>
          </cell>
        </row>
        <row r="96">
          <cell r="M96" t="str">
            <v>10.1021/acs.chemmater.1c03450</v>
          </cell>
        </row>
        <row r="97">
          <cell r="M97" t="str">
            <v>10.1016/j.trd.2021.102789</v>
          </cell>
        </row>
        <row r="98">
          <cell r="M98" t="str">
            <v>10.1016/j.drugalcdep.2020.108420</v>
          </cell>
        </row>
        <row r="99">
          <cell r="M99" t="str">
            <v>10.1039/c9mh01782h</v>
          </cell>
        </row>
        <row r="100">
          <cell r="M100" t="str">
            <v>10.1016/j.jhazmat.2019.121644</v>
          </cell>
        </row>
        <row r="101">
          <cell r="M101" t="str">
            <v>10.1021/acsaem.9b01754</v>
          </cell>
        </row>
        <row r="102">
          <cell r="M102" t="str">
            <v>10.1016/j.ijhydene.2024.11.288</v>
          </cell>
        </row>
        <row r="103">
          <cell r="M103" t="str">
            <v>10.1002/adma.202108493</v>
          </cell>
        </row>
        <row r="104">
          <cell r="M104" t="str">
            <v>10.1016/j.snb.2021.129527</v>
          </cell>
        </row>
        <row r="105">
          <cell r="M105" t="str">
            <v>10.1063/5.0020661</v>
          </cell>
        </row>
        <row r="106">
          <cell r="M106" t="str">
            <v>10.1039/d3se00277b</v>
          </cell>
        </row>
        <row r="107">
          <cell r="M107" t="str">
            <v>10.1002/adom.202000664</v>
          </cell>
        </row>
        <row r="108">
          <cell r="M108" t="str">
            <v>10.1021/acsaem.0c00069</v>
          </cell>
        </row>
        <row r="109">
          <cell r="M109" t="str">
            <v>10.1088/1361-6528/ab72b6</v>
          </cell>
        </row>
        <row r="110">
          <cell r="M110" t="str">
            <v>10.1016/j.jpowsour.2019.227359</v>
          </cell>
        </row>
        <row r="111">
          <cell r="M111" t="str">
            <v>10.1016/j.jpowsour.2023.233565</v>
          </cell>
        </row>
        <row r="112">
          <cell r="M112" t="str">
            <v>10.1016/j.matdes.2023.112332</v>
          </cell>
        </row>
        <row r="113">
          <cell r="M113" t="str">
            <v>10.1016/B978-0-12-823144-9.00069-8</v>
          </cell>
        </row>
        <row r="114">
          <cell r="M114" t="str">
            <v>10.1017/9781108878142</v>
          </cell>
        </row>
        <row r="115">
          <cell r="M115" t="str">
            <v>10.3389/fimmu.2022.917790</v>
          </cell>
        </row>
        <row r="116">
          <cell r="M116" t="str">
            <v>10.1039/d1ra04480j</v>
          </cell>
        </row>
        <row r="117">
          <cell r="M117" t="str">
            <v>10.1016/B978-0-12-823708-3.00002-X</v>
          </cell>
        </row>
        <row r="118">
          <cell r="M118" t="str">
            <v>10.1111/1365-2435.13621</v>
          </cell>
        </row>
        <row r="119">
          <cell r="M119" t="str">
            <v>10.1016/j.ijfatigue.2020.105697</v>
          </cell>
        </row>
        <row r="120">
          <cell r="M120" t="str">
            <v>10.1002/cncr.32455</v>
          </cell>
        </row>
        <row r="121">
          <cell r="M121" t="str">
            <v>10.3389/fimmu.2021.732298</v>
          </cell>
        </row>
        <row r="122">
          <cell r="M122" t="str">
            <v>10.1002/adfm.202313793</v>
          </cell>
        </row>
        <row r="123">
          <cell r="M123" t="str">
            <v>10.1016/j.jmapro.2024.01.029</v>
          </cell>
        </row>
        <row r="124">
          <cell r="M124" t="str">
            <v>10.1039/d3su00335c</v>
          </cell>
        </row>
        <row r="125">
          <cell r="M125" t="str">
            <v>10.3390/s21175947</v>
          </cell>
        </row>
        <row r="126">
          <cell r="M126" t="str">
            <v>10.3389/fmats.2021.639823</v>
          </cell>
        </row>
        <row r="127">
          <cell r="M127" t="str">
            <v>10.3390/s21010225</v>
          </cell>
        </row>
        <row r="128">
          <cell r="M128" t="str">
            <v>10.1016/j.quaint.2019.05.003</v>
          </cell>
        </row>
        <row r="129">
          <cell r="M129" t="str">
            <v>10.1080/00952990.2020.1771721</v>
          </cell>
        </row>
        <row r="130">
          <cell r="M130" t="str">
            <v>10.1016/S2542-5196(24)00244-4</v>
          </cell>
        </row>
        <row r="131">
          <cell r="M131" t="str">
            <v>10.1039/d4ey00104d</v>
          </cell>
        </row>
        <row r="132">
          <cell r="M132" t="str">
            <v>10.1177/14680874221082636</v>
          </cell>
        </row>
        <row r="133">
          <cell r="M133" t="str">
            <v>10.1007/s12520-022-01676-2</v>
          </cell>
        </row>
        <row r="134">
          <cell r="M134" t="str">
            <v>10.1002/adom.202200862</v>
          </cell>
        </row>
        <row r="135">
          <cell r="M135" t="str">
            <v>10.1063/5.0081185</v>
          </cell>
        </row>
        <row r="136">
          <cell r="M136" t="str">
            <v>10.1111/dar.13261</v>
          </cell>
        </row>
        <row r="137">
          <cell r="M137" t="str">
            <v>10.1021/acs.langmuir.0c02868</v>
          </cell>
        </row>
        <row r="138">
          <cell r="M138" t="str">
            <v>10.1002/adfm.202305733</v>
          </cell>
        </row>
        <row r="139">
          <cell r="M139" t="str">
            <v>10.1177/0169796X221104856</v>
          </cell>
        </row>
        <row r="140">
          <cell r="M140" t="str">
            <v>10.1016/j.drugpo.2020.102864</v>
          </cell>
        </row>
        <row r="141">
          <cell r="M141" t="str">
            <v>10.1039/c9tc06454k</v>
          </cell>
        </row>
        <row r="142">
          <cell r="M142" t="str">
            <v>10.3390/ma17133306</v>
          </cell>
        </row>
        <row r="143">
          <cell r="M143" t="str">
            <v>10.1002/adsr.202300003</v>
          </cell>
        </row>
        <row r="144">
          <cell r="M144" t="str">
            <v>10.1039/d1ra07216a</v>
          </cell>
        </row>
        <row r="145">
          <cell r="M145" t="str">
            <v>10.1108/IJOES-02-2021-0033</v>
          </cell>
        </row>
        <row r="146">
          <cell r="M146" t="str">
            <v>10.1021/acs.jpcc.0c09527</v>
          </cell>
        </row>
        <row r="147">
          <cell r="M147" t="str">
            <v>10.1115/1.4047616</v>
          </cell>
        </row>
        <row r="148">
          <cell r="M148" t="str">
            <v>10.1109/JSEN.2023.3247695</v>
          </cell>
        </row>
        <row r="149">
          <cell r="M149" t="str">
            <v>10.1002/celc.202200161</v>
          </cell>
        </row>
        <row r="150">
          <cell r="M150" t="str">
            <v>10.1111/poms.13605</v>
          </cell>
        </row>
        <row r="151">
          <cell r="M151" t="str">
            <v>10.1111/jace.18114</v>
          </cell>
        </row>
        <row r="152">
          <cell r="M152" t="str">
            <v>10.1016/j.jsams.2021.08.022</v>
          </cell>
        </row>
        <row r="153">
          <cell r="M153" t="str">
            <v>10.1016/j.clet.2020.100024</v>
          </cell>
        </row>
        <row r="154">
          <cell r="M154" t="str">
            <v>10.1016/j.powtec.2020.04.031</v>
          </cell>
        </row>
        <row r="155">
          <cell r="M155" t="str">
            <v>10.1016/j.jpowsour.2024.235537</v>
          </cell>
        </row>
        <row r="156">
          <cell r="M156" t="str">
            <v>10.1149/1945-7111/ad0dc3</v>
          </cell>
        </row>
        <row r="157">
          <cell r="M157" t="str">
            <v>10.57698/v16i3.005</v>
          </cell>
        </row>
        <row r="158">
          <cell r="M158" t="str">
            <v>10.1016/j.omtm.2022.05.006</v>
          </cell>
        </row>
        <row r="159">
          <cell r="M159" t="str">
            <v>10.1007/s12553-022-00655-w</v>
          </cell>
        </row>
        <row r="160">
          <cell r="M160" t="str">
            <v>10.1021/acsphotonics.1c00525</v>
          </cell>
        </row>
        <row r="161">
          <cell r="M161" t="str">
            <v>10.1145/3686169.3686211</v>
          </cell>
        </row>
        <row r="162">
          <cell r="M162" t="str">
            <v>10.1016/j.jallcom.2024.174816</v>
          </cell>
        </row>
        <row r="163">
          <cell r="M163"/>
        </row>
        <row r="164">
          <cell r="M164" t="str">
            <v>10.1007/s00170-023-12618-0</v>
          </cell>
        </row>
        <row r="165">
          <cell r="M165" t="str">
            <v>10.1038/s41699-023-00433-w</v>
          </cell>
        </row>
        <row r="166">
          <cell r="M166" t="str">
            <v>10.1088/2058-8585/acb722</v>
          </cell>
        </row>
        <row r="167">
          <cell r="M167" t="str">
            <v>10.1186/s12885-020-07374-3</v>
          </cell>
        </row>
        <row r="168">
          <cell r="M168" t="str">
            <v>10.1007/s12351-018-0404-3</v>
          </cell>
        </row>
        <row r="169">
          <cell r="M169" t="str">
            <v>10.1002/cssc.202301922</v>
          </cell>
        </row>
        <row r="170">
          <cell r="M170" t="str">
            <v>10.13532/j.jmsce.cn10-1638/td.2023.03.004</v>
          </cell>
        </row>
        <row r="171">
          <cell r="M171" t="str">
            <v>10.1109/TDMR.2022.3175914</v>
          </cell>
        </row>
        <row r="172">
          <cell r="M172" t="str">
            <v>10.1021/acs.macromol.1c01613</v>
          </cell>
        </row>
        <row r="173">
          <cell r="M173" t="str">
            <v>10.1386/jams_00018_1</v>
          </cell>
        </row>
        <row r="174">
          <cell r="M174" t="str">
            <v>10.1016/j.applthermaleng.2024.124281</v>
          </cell>
        </row>
        <row r="175">
          <cell r="M175" t="str">
            <v>10.1016/j.jmapro.2023.11.007</v>
          </cell>
        </row>
        <row r="176">
          <cell r="M176" t="str">
            <v>10.1016/j.sna.2023.114728</v>
          </cell>
        </row>
        <row r="177">
          <cell r="M177" t="str">
            <v>10.1038/s41467-023-37346-7</v>
          </cell>
        </row>
        <row r="178">
          <cell r="M178" t="str">
            <v>10.5194/isprs-annals-X-4-W1-2022-25-2023</v>
          </cell>
        </row>
        <row r="179">
          <cell r="M179" t="str">
            <v>10.3390/nano13010018</v>
          </cell>
        </row>
        <row r="180">
          <cell r="M180" t="str">
            <v>10.1088/1748-0221/17/12/C12013</v>
          </cell>
        </row>
        <row r="181">
          <cell r="M181" t="str">
            <v>10.1177/0169796X221106013</v>
          </cell>
        </row>
        <row r="182">
          <cell r="M182" t="str">
            <v>10.1002/oa.2987</v>
          </cell>
        </row>
        <row r="183">
          <cell r="M183" t="str">
            <v>10.1103/PhysRevB.103.054201</v>
          </cell>
        </row>
        <row r="184">
          <cell r="M184" t="str">
            <v>10.1039/d0nr08652e</v>
          </cell>
        </row>
        <row r="185">
          <cell r="M185" t="str">
            <v>10.1016/j.jasrep.2020.102741</v>
          </cell>
        </row>
        <row r="186">
          <cell r="M186" t="str">
            <v>10.1016/j.tsf.2020.138206</v>
          </cell>
        </row>
        <row r="187">
          <cell r="M187" t="str">
            <v>10.1111/joms.13003</v>
          </cell>
        </row>
        <row r="188">
          <cell r="M188" t="str">
            <v>10.1007/s13233-024-00261-x</v>
          </cell>
        </row>
        <row r="189">
          <cell r="M189" t="str">
            <v>10.1016/j.strueco.2023.09.004</v>
          </cell>
        </row>
        <row r="190">
          <cell r="M190" t="str">
            <v>10.4324/9781003176497</v>
          </cell>
        </row>
        <row r="191">
          <cell r="M191" t="str">
            <v>10.11834/jig.210371</v>
          </cell>
        </row>
        <row r="192">
          <cell r="M192" t="str">
            <v>10.1016/B978-0-444-59432-7.00020-0</v>
          </cell>
        </row>
        <row r="193">
          <cell r="M193" t="str">
            <v>10.1109/WIFS53200.2021.9648379</v>
          </cell>
        </row>
        <row r="194">
          <cell r="M194" t="str">
            <v>10.1007/s00603-020-02203-2</v>
          </cell>
        </row>
        <row r="195">
          <cell r="M195" t="str">
            <v>10.1016/j.sna.2020.112045</v>
          </cell>
        </row>
        <row r="196">
          <cell r="M196" t="str">
            <v>10.1115/1.4046309</v>
          </cell>
        </row>
        <row r="197">
          <cell r="M197" t="str">
            <v>10.1021/acsami.0c00724</v>
          </cell>
        </row>
        <row r="198">
          <cell r="M198" t="str">
            <v>10.1186/s12954-024-00980-5</v>
          </cell>
        </row>
        <row r="199">
          <cell r="M199" t="str">
            <v>10.1016/j.mtcomm.2024.109928</v>
          </cell>
        </row>
        <row r="200">
          <cell r="M200" t="str">
            <v>10.1002/batt.202300367</v>
          </cell>
        </row>
        <row r="201">
          <cell r="M201" t="str">
            <v>10.1038/s41598-023-38154-1</v>
          </cell>
        </row>
        <row r="202">
          <cell r="M202" t="str">
            <v>10.1016/j.aquatox.2023.106640</v>
          </cell>
        </row>
        <row r="203">
          <cell r="M203" t="str">
            <v>10.1016/j.nimb.2023.05.041</v>
          </cell>
        </row>
        <row r="204">
          <cell r="M204" t="str">
            <v>10.1115/1.4055149</v>
          </cell>
        </row>
        <row r="205">
          <cell r="M205" t="str">
            <v>10.1021/acsaem.2c01548</v>
          </cell>
        </row>
        <row r="206">
          <cell r="M206" t="str">
            <v>10.1063/5.0106934</v>
          </cell>
        </row>
        <row r="207">
          <cell r="M207" t="str">
            <v>10.1016/j.matchemphys.2022.126272</v>
          </cell>
        </row>
        <row r="208">
          <cell r="M208" t="str">
            <v>10.1039/d1ma00847a</v>
          </cell>
        </row>
        <row r="209">
          <cell r="M209" t="str">
            <v>10.1088/2058-8585/ac1fd6</v>
          </cell>
        </row>
        <row r="210">
          <cell r="M210" t="str">
            <v>10.1115/1.4050363</v>
          </cell>
        </row>
        <row r="211">
          <cell r="M211" t="str">
            <v>10.1039/d0qm00403k</v>
          </cell>
        </row>
        <row r="212">
          <cell r="M212"/>
        </row>
        <row r="213">
          <cell r="M213" t="str">
            <v>10.3390/cryst10121109</v>
          </cell>
        </row>
        <row r="214">
          <cell r="M214" t="str">
            <v>10.1134/S1063776120070080</v>
          </cell>
        </row>
        <row r="215">
          <cell r="M215" t="str">
            <v>10.1016/B978-0-12-818475-2.00002-7</v>
          </cell>
        </row>
        <row r="216">
          <cell r="M216" t="str">
            <v>10.1007/s10346-024-02346-1</v>
          </cell>
        </row>
        <row r="217">
          <cell r="M217" t="str">
            <v>10.1038/s41467-024-51024-2</v>
          </cell>
        </row>
        <row r="218">
          <cell r="M218" t="str">
            <v>10.1016/j.jallcom.2024.176341</v>
          </cell>
        </row>
        <row r="219">
          <cell r="M219" t="str">
            <v>10.1103/PhysRevResearch.6.033055</v>
          </cell>
        </row>
        <row r="220">
          <cell r="M220" t="str">
            <v>10.1149/1945-7111/ad4c11</v>
          </cell>
        </row>
        <row r="221">
          <cell r="M221" t="str">
            <v>10.1039/d3tc03695b</v>
          </cell>
        </row>
        <row r="222">
          <cell r="M222" t="str">
            <v>10.1002/aisy.202300015</v>
          </cell>
        </row>
        <row r="223">
          <cell r="M223" t="str">
            <v>10.1145/3544548.3581024</v>
          </cell>
        </row>
        <row r="224">
          <cell r="M224" t="str">
            <v>10.1016/B978-0-08-102795-0.00003-7</v>
          </cell>
        </row>
        <row r="225">
          <cell r="M225" t="str">
            <v>10.1111/rssc.12572</v>
          </cell>
        </row>
        <row r="226">
          <cell r="M226" t="str">
            <v>10.1177/0169796X221107217</v>
          </cell>
        </row>
        <row r="227">
          <cell r="M227" t="str">
            <v>10.1016/j.jmmm.2021.168646</v>
          </cell>
        </row>
        <row r="228">
          <cell r="M228" t="str">
            <v>10.1504/ijpp.2022.127431</v>
          </cell>
        </row>
        <row r="229">
          <cell r="M229" t="str">
            <v>10.1098/rsos.210141</v>
          </cell>
        </row>
        <row r="230">
          <cell r="M230" t="str">
            <v>10.1088/1742-6596/1802/3/032035</v>
          </cell>
        </row>
        <row r="231">
          <cell r="M231" t="str">
            <v>10.1109/SAS48726.2020.9220040</v>
          </cell>
        </row>
        <row r="232">
          <cell r="M232" t="str">
            <v>10.1016/j.cbd.2019.100635</v>
          </cell>
        </row>
        <row r="233">
          <cell r="M233" t="str">
            <v>10.1109/ACCESS.2020.3030325</v>
          </cell>
        </row>
        <row r="234">
          <cell r="M234" t="str">
            <v>10.4324/9780429330025-6</v>
          </cell>
        </row>
        <row r="235">
          <cell r="M235" t="str">
            <v>10.1021/acsami.4c01045</v>
          </cell>
        </row>
        <row r="236">
          <cell r="M236" t="str">
            <v>10.1021/acsami.3c17745</v>
          </cell>
        </row>
        <row r="237">
          <cell r="M237" t="str">
            <v>10.1137/22M1506985</v>
          </cell>
        </row>
        <row r="238">
          <cell r="M238" t="str">
            <v>10.1016/j.wear.2023.205225</v>
          </cell>
        </row>
        <row r="239">
          <cell r="M239" t="str">
            <v>10.1088/1748-0221/19/02/C02001</v>
          </cell>
        </row>
        <row r="240">
          <cell r="M240" t="str">
            <v>10.1109/SENSORS60989.2024.10784982</v>
          </cell>
        </row>
        <row r="241">
          <cell r="M241" t="str">
            <v>10.1063/5.0175532</v>
          </cell>
        </row>
        <row r="242">
          <cell r="M242" t="str">
            <v>10.1103/PhysRevLett.131.049701</v>
          </cell>
        </row>
        <row r="243">
          <cell r="M243" t="str">
            <v>10.1049/pel2.12463</v>
          </cell>
        </row>
        <row r="244">
          <cell r="M244" t="str">
            <v>10.1016/j.jasrep.2022.103800</v>
          </cell>
        </row>
        <row r="245">
          <cell r="M245" t="str">
            <v>10.1109/IFETC57334.2023.10254902</v>
          </cell>
        </row>
        <row r="246">
          <cell r="M246" t="str">
            <v>10.1109/JFLEX.2023.3237991</v>
          </cell>
        </row>
        <row r="247">
          <cell r="M247" t="str">
            <v>10.1007/978-981-19-7720-6</v>
          </cell>
        </row>
        <row r="248">
          <cell r="M248" t="str">
            <v>10.1088/1748-0221/17/11/C11002</v>
          </cell>
        </row>
        <row r="249">
          <cell r="M249" t="str">
            <v>10.1002/solr.202100992</v>
          </cell>
        </row>
        <row r="250">
          <cell r="M250" t="str">
            <v>10.1016/j.ijheatmasstransfer.2021.122098</v>
          </cell>
        </row>
        <row r="251">
          <cell r="M251" t="str">
            <v>10.1039/d1nj00362c</v>
          </cell>
        </row>
        <row r="252">
          <cell r="M252" t="str">
            <v>10.1080/00207543.2020.1735656</v>
          </cell>
        </row>
        <row r="253">
          <cell r="M253" t="str">
            <v>10.1016/j.worlddev.2019.104695</v>
          </cell>
        </row>
        <row r="254">
          <cell r="M254" t="str">
            <v>10.1016/j.actbio.2024.10.029</v>
          </cell>
        </row>
        <row r="255">
          <cell r="M255" t="str">
            <v>10.1016/j.ceramint.2024.02.223</v>
          </cell>
        </row>
        <row r="256">
          <cell r="M256" t="str">
            <v>10.1007/s10924-024-03300-x</v>
          </cell>
        </row>
        <row r="257">
          <cell r="M257" t="str">
            <v>10.1016/j.enconman.2024.118780</v>
          </cell>
        </row>
        <row r="258">
          <cell r="M258" t="str">
            <v>10.1103/PhysRevApplied.22.024058</v>
          </cell>
        </row>
        <row r="259">
          <cell r="M259" t="str">
            <v>10.1103/PhysRevB.109.224421</v>
          </cell>
        </row>
        <row r="260">
          <cell r="M260" t="str">
            <v>10.1177/08853282241240139</v>
          </cell>
        </row>
        <row r="261">
          <cell r="M261" t="str">
            <v>10.1021/acsanm.4c00173</v>
          </cell>
        </row>
        <row r="262">
          <cell r="M262" t="str">
            <v>10.1021/acs.chas.3c00072</v>
          </cell>
        </row>
        <row r="263">
          <cell r="M263" t="str">
            <v>10.1088/1361-6528/ad0410</v>
          </cell>
        </row>
        <row r="264">
          <cell r="M264" t="str">
            <v>10.34172/ijhpm.2023.6936</v>
          </cell>
        </row>
        <row r="265">
          <cell r="M265" t="str">
            <v>10.1109/MEMS49605.2023.10052235</v>
          </cell>
        </row>
        <row r="266">
          <cell r="M266" t="str">
            <v>10.1109/EMTS57498.2023.10925248</v>
          </cell>
        </row>
        <row r="267">
          <cell r="M267" t="str">
            <v>10.1111/jace.18449</v>
          </cell>
        </row>
        <row r="268">
          <cell r="M268"/>
        </row>
        <row r="269">
          <cell r="M269" t="str">
            <v>10.1109/NMDC50713.2021.9677489</v>
          </cell>
        </row>
        <row r="270">
          <cell r="M270" t="str">
            <v>10.1109/ECCE47101.2021.9595256</v>
          </cell>
        </row>
        <row r="271">
          <cell r="M271" t="str">
            <v>10.1016/j.indmarman.2020.07.004</v>
          </cell>
        </row>
        <row r="272">
          <cell r="M272" t="str">
            <v>10.1111/glob.12235</v>
          </cell>
        </row>
        <row r="273">
          <cell r="M273" t="str">
            <v>10.1115/GT2020-14960</v>
          </cell>
        </row>
        <row r="274">
          <cell r="M274" t="str">
            <v>10.1145/3686169.3686206</v>
          </cell>
        </row>
        <row r="275">
          <cell r="M275" t="str">
            <v>10.1145/3670947.3670960</v>
          </cell>
        </row>
        <row r="276">
          <cell r="M276" t="str">
            <v>10.1103/PhysRevB.110.064401</v>
          </cell>
        </row>
        <row r="277">
          <cell r="M277" t="str">
            <v>10.1097/JPO.0000000000000512</v>
          </cell>
        </row>
        <row r="278">
          <cell r="M278"/>
        </row>
        <row r="279">
          <cell r="M279" t="str">
            <v>10.3138/cpp.2022-079</v>
          </cell>
        </row>
        <row r="280">
          <cell r="M280" t="str">
            <v>10.1115/DETC2024-142944</v>
          </cell>
        </row>
        <row r="281">
          <cell r="M281" t="str">
            <v>10.1117/12.3003437</v>
          </cell>
        </row>
        <row r="282">
          <cell r="M282" t="str">
            <v>10.1139/cjc-2023-0232</v>
          </cell>
        </row>
        <row r="283">
          <cell r="M283" t="str">
            <v>10.1117/12.3003941</v>
          </cell>
        </row>
        <row r="284">
          <cell r="M284" t="str">
            <v>10.1007/s42417-022-00791-7</v>
          </cell>
        </row>
        <row r="285">
          <cell r="M285" t="str">
            <v>10.1016/j.nimb.2023.05.012</v>
          </cell>
        </row>
        <row r="286">
          <cell r="M286" t="str">
            <v>10.1016/j.supflu.2023.105939</v>
          </cell>
        </row>
        <row r="287">
          <cell r="M287" t="str">
            <v>10.1109/FLEPS57599.2023.10220223</v>
          </cell>
        </row>
        <row r="288">
          <cell r="M288" t="str">
            <v>10.3389/frai.2023.1137961</v>
          </cell>
        </row>
        <row r="289">
          <cell r="M289" t="str">
            <v>10.1007/978-981-99-0321-4_11</v>
          </cell>
        </row>
        <row r="290">
          <cell r="M290" t="str">
            <v>10.1177/0169796X221107954</v>
          </cell>
        </row>
        <row r="291">
          <cell r="M291" t="str">
            <v>10.1109/LSENS.2022.3146353</v>
          </cell>
        </row>
        <row r="292">
          <cell r="M292"/>
        </row>
        <row r="293">
          <cell r="M293" t="str">
            <v>10.1115/DETC2022-89300</v>
          </cell>
        </row>
        <row r="294">
          <cell r="M294" t="str">
            <v>10.1109/EDTM53872.2022.9797966</v>
          </cell>
        </row>
        <row r="295">
          <cell r="M295" t="str">
            <v>10.52975/llt.2021v88.0005</v>
          </cell>
        </row>
        <row r="296">
          <cell r="M296" t="str">
            <v>10.1016/j.jasrep.2021.103233</v>
          </cell>
        </row>
        <row r="297">
          <cell r="M297" t="str">
            <v>10.1002/adem.202100048</v>
          </cell>
        </row>
        <row r="298">
          <cell r="M298" t="str">
            <v>10.1017/9781316671603.018</v>
          </cell>
        </row>
        <row r="299">
          <cell r="M299" t="str">
            <v>10.1097/CXA.0000000000000088</v>
          </cell>
        </row>
        <row r="300">
          <cell r="M300" t="str">
            <v>10.1088/2058-8585/ad7e36</v>
          </cell>
        </row>
        <row r="301">
          <cell r="M301" t="str">
            <v>10.1088/1361-6420/ad7c78</v>
          </cell>
        </row>
        <row r="302">
          <cell r="M302" t="str">
            <v>10.1016/j.renene.2024.121338</v>
          </cell>
        </row>
        <row r="303">
          <cell r="M303" t="str">
            <v>10.1016/j.energy.2024.132617</v>
          </cell>
        </row>
        <row r="304">
          <cell r="M304" t="str">
            <v>10.1145/3686169.3686208</v>
          </cell>
        </row>
        <row r="305">
          <cell r="M305" t="str">
            <v>10.1103/PhysRevB.110.104429</v>
          </cell>
        </row>
        <row r="306">
          <cell r="M306" t="str">
            <v>10.1145/3613904.3642304</v>
          </cell>
        </row>
        <row r="307">
          <cell r="M307" t="str">
            <v>10.1145/3613904.3642356</v>
          </cell>
        </row>
        <row r="308">
          <cell r="M308" t="str">
            <v>10.1039/d4en00064a</v>
          </cell>
        </row>
        <row r="309">
          <cell r="M309" t="str">
            <v>10.1109/JFLEX.2024.3426128</v>
          </cell>
        </row>
        <row r="310">
          <cell r="M310" t="str">
            <v>10.1109/JFLEX.2024.3408001</v>
          </cell>
        </row>
        <row r="311">
          <cell r="M311" t="str">
            <v>10.4324/9781003576846-7</v>
          </cell>
        </row>
        <row r="312">
          <cell r="M312" t="str">
            <v>10.1115/GT2024-125961</v>
          </cell>
        </row>
        <row r="313">
          <cell r="M313" t="str">
            <v>10.1146/annurev-physchem-101422-030127</v>
          </cell>
        </row>
        <row r="314">
          <cell r="M314" t="str">
            <v>10.1115/DETC2023-114997</v>
          </cell>
        </row>
        <row r="315">
          <cell r="M315" t="str">
            <v>10.1115/DETC2023-114987</v>
          </cell>
        </row>
        <row r="316">
          <cell r="M316" t="str">
            <v>10.1109/FLEPS57599.2023.10220417</v>
          </cell>
        </row>
        <row r="317">
          <cell r="M317" t="str">
            <v>10.1201/9781003429746-6</v>
          </cell>
        </row>
        <row r="318">
          <cell r="M318" t="str">
            <v>10.1007/978-1-0716-3323-6_2</v>
          </cell>
        </row>
        <row r="319">
          <cell r="M319" t="str">
            <v>10.1109/EMTS57498.2023.10925226</v>
          </cell>
        </row>
        <row r="320">
          <cell r="M320" t="str">
            <v>10.1109/EMTS57498.2023.10925301</v>
          </cell>
        </row>
        <row r="321">
          <cell r="M321" t="str">
            <v>10.1016/j.matlet.2022.132861</v>
          </cell>
        </row>
        <row r="322">
          <cell r="M322" t="str">
            <v>10.1016/j.mtcomm.2022.103897</v>
          </cell>
        </row>
        <row r="323">
          <cell r="M323" t="str">
            <v>10.1016/j.enconman.2022.115573</v>
          </cell>
        </row>
        <row r="324">
          <cell r="M324"/>
        </row>
        <row r="325">
          <cell r="M325" t="str">
            <v>10.1115/IPACK2022-98077</v>
          </cell>
        </row>
        <row r="326">
          <cell r="M326" t="str">
            <v>10.1115/DETC2022-89511</v>
          </cell>
        </row>
        <row r="327">
          <cell r="M327" t="str">
            <v>10.1109/PVSC43889.2021.9518957</v>
          </cell>
        </row>
        <row r="328">
          <cell r="M328" t="str">
            <v>10.1016/B978-0-12-823708-3.00005-5</v>
          </cell>
        </row>
        <row r="329">
          <cell r="M329" t="str">
            <v>10.1109/NMDC50713.2021.9677477</v>
          </cell>
        </row>
        <row r="330">
          <cell r="M330" t="str">
            <v>10.1090/conm/746/15000</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3"/>
      <sheetName val="rio results"/>
      <sheetName val="comparison"/>
    </sheetNames>
    <sheetDataSet>
      <sheetData sheetId="0">
        <row r="2">
          <cell r="B2" t="str">
            <v>https://doi.org/10.1016/s0140-6736(20)30526-2</v>
          </cell>
        </row>
        <row r="3">
          <cell r="B3" t="str">
            <v>https://doi.org/10.1111/1748-8583.12524</v>
          </cell>
        </row>
        <row r="4">
          <cell r="B4" t="str">
            <v>https://doi.org/10.1080/14494035.2020.1787628</v>
          </cell>
        </row>
        <row r="5">
          <cell r="B5" t="str">
            <v>https://doi.org/10.1017/s0008423920000396</v>
          </cell>
        </row>
        <row r="6">
          <cell r="B6" t="str">
            <v>https://doi.org/10.1016/j.jclepro.2021.129099</v>
          </cell>
        </row>
        <row r="7">
          <cell r="B7" t="str">
            <v>https://doi.org/10.1016/j.chbah.2023.100022</v>
          </cell>
        </row>
        <row r="8">
          <cell r="B8" t="str">
            <v>https://doi.org/10.1177/2053168021993979</v>
          </cell>
        </row>
        <row r="9">
          <cell r="B9" t="str">
            <v>https://doi.org/10.21203/rs.3.rs-311311/v1</v>
          </cell>
        </row>
        <row r="10">
          <cell r="B10" t="str">
            <v>https://doi.org/10.1093/biosci/biaa144</v>
          </cell>
        </row>
        <row r="11">
          <cell r="B11" t="str">
            <v>https://doi.org/10.1016/s0140-6736(20)31032-1</v>
          </cell>
        </row>
        <row r="12">
          <cell r="B12" t="str">
            <v>https://doi.org/10.1016/j.marpol.2020.104039</v>
          </cell>
        </row>
        <row r="13">
          <cell r="B13" t="str">
            <v>https://doi.org/10.1111/rego.12392</v>
          </cell>
        </row>
        <row r="14">
          <cell r="B14" t="str">
            <v>https://doi.org/10.1017/s0008423920000463</v>
          </cell>
        </row>
        <row r="15">
          <cell r="B15" t="str">
            <v>https://doi.org/10.1177/0308518x20904070</v>
          </cell>
        </row>
        <row r="16">
          <cell r="B16" t="str">
            <v>https://doi.org/10.1016/j.trip.2022.100602</v>
          </cell>
        </row>
        <row r="17">
          <cell r="B17" t="str">
            <v>https://doi.org/10.1016/s0140-6736(23)00012-0</v>
          </cell>
        </row>
        <row r="18">
          <cell r="B18" t="str">
            <v>https://doi.org/10.1111/add.14947</v>
          </cell>
        </row>
        <row r="19">
          <cell r="B19" t="str">
            <v>https://doi.org/10.1016/s2468-2667(21)00070-0</v>
          </cell>
        </row>
        <row r="20">
          <cell r="B20" t="str">
            <v>https://doi.org/10.1016/j.copsyc.2021.04.009</v>
          </cell>
        </row>
        <row r="21">
          <cell r="B21" t="str">
            <v>https://doi.org/10.1080/19491247.2021.1940686</v>
          </cell>
        </row>
        <row r="22">
          <cell r="B22" t="str">
            <v>https://doi.org/10.1016/s0140-6736(21)00215-4</v>
          </cell>
        </row>
        <row r="23">
          <cell r="B23" t="str">
            <v>https://doi.org/10.1186/s12992-020-00656-2</v>
          </cell>
        </row>
        <row r="24">
          <cell r="B24" t="str">
            <v>https://doi.org/10.1038/s44183-023-00015-9</v>
          </cell>
        </row>
        <row r="25">
          <cell r="B25" t="str">
            <v>https://doi.org/10.1080/25741292.2020.1824379</v>
          </cell>
        </row>
        <row r="26">
          <cell r="B26" t="str">
            <v>https://doi.org/10.3389/fmars.2021.709947</v>
          </cell>
        </row>
        <row r="27">
          <cell r="B27" t="str">
            <v>https://doi.org/10.3389/fpos.2021.647957</v>
          </cell>
        </row>
        <row r="28">
          <cell r="B28" t="str">
            <v>https://doi.org/10.1016/j.marpol.2021.104922</v>
          </cell>
        </row>
        <row r="29">
          <cell r="B29" t="str">
            <v>https://doi.org/10.1016/j.isci.2020.101205</v>
          </cell>
        </row>
        <row r="30">
          <cell r="B30" t="str">
            <v>https://doi.org/10.1016/j.jenvp.2020.101523</v>
          </cell>
        </row>
        <row r="31">
          <cell r="B31" t="str">
            <v>https://doi.org/10.1089/cyber.2020.0663</v>
          </cell>
        </row>
        <row r="32">
          <cell r="B32" t="str">
            <v>https://doi.org/10.1086/720152</v>
          </cell>
        </row>
        <row r="33">
          <cell r="B33" t="str">
            <v>https://doi.org/10.1098/rstb.2022.0196</v>
          </cell>
        </row>
        <row r="34">
          <cell r="B34" t="str">
            <v>https://doi.org/10.1016/j.heliyon.2023.e20544</v>
          </cell>
        </row>
        <row r="35">
          <cell r="B35" t="str">
            <v>https://doi.org/10.1016/j.jenvp.2020.101460</v>
          </cell>
        </row>
        <row r="36">
          <cell r="B36" t="str">
            <v>https://doi.org/10.2196/44357</v>
          </cell>
        </row>
        <row r="37">
          <cell r="B37" t="str">
            <v>https://doi.org/10.1016/j.jbusres.2020.09.005</v>
          </cell>
        </row>
        <row r="38">
          <cell r="B38" t="str">
            <v>https://doi.org/10.1177/00207314221134040</v>
          </cell>
        </row>
        <row r="39">
          <cell r="B39" t="str">
            <v>https://doi.org/10.4324/9781003343431</v>
          </cell>
        </row>
        <row r="40">
          <cell r="B40" t="str">
            <v>https://doi.org/10.1139/facets-2021-0018</v>
          </cell>
        </row>
        <row r="41">
          <cell r="B41" t="str">
            <v>https://doi.org/10.1136/bmjopen-2020-048353</v>
          </cell>
        </row>
        <row r="42">
          <cell r="B42" t="str">
            <v>https://doi.org/10.1126/science.adn1477</v>
          </cell>
        </row>
        <row r="43">
          <cell r="B43" t="str">
            <v>https://doi.org/10.1371/journal.pmed.1003172</v>
          </cell>
        </row>
        <row r="44">
          <cell r="B44" t="str">
            <v>https://doi.org/10.1002/ejsp.2703</v>
          </cell>
        </row>
        <row r="45">
          <cell r="B45" t="str">
            <v>https://doi.org/10.1136/bmjgh-2021-006794</v>
          </cell>
        </row>
        <row r="46">
          <cell r="B46" t="str">
            <v>https://doi.org/10.1016/j.polgeo.2023.102904</v>
          </cell>
        </row>
        <row r="47">
          <cell r="B47" t="str">
            <v>https://doi.org/10.1111/bjet.13246</v>
          </cell>
        </row>
        <row r="48">
          <cell r="B48" t="str">
            <v>https://doi.org/10.1016/j.cities.2020.102816</v>
          </cell>
        </row>
        <row r="49">
          <cell r="B49" t="str">
            <v>https://doi.org/10.3389/fmed.2024.1495582</v>
          </cell>
        </row>
        <row r="50">
          <cell r="B50" t="str">
            <v>https://doi.org/10.1007/s10433-020-00599-y</v>
          </cell>
        </row>
        <row r="51">
          <cell r="B51" t="str">
            <v>https://doi.org/10.1016/j.erss.2021.102255</v>
          </cell>
        </row>
        <row r="52">
          <cell r="B52" t="str">
            <v>https://doi.org/10.1080/03601277.2021.1927484</v>
          </cell>
        </row>
        <row r="53">
          <cell r="B53" t="str">
            <v>https://doi.org/10.1016/j.envsci.2024.103710</v>
          </cell>
        </row>
        <row r="54">
          <cell r="B54" t="str">
            <v>https://doi.org/10.1016/j.healthplace.2022.102844</v>
          </cell>
        </row>
        <row r="55">
          <cell r="B55" t="str">
            <v>https://doi.org/10.1016/j.cities.2020.103017</v>
          </cell>
        </row>
        <row r="56">
          <cell r="B56" t="str">
            <v>https://doi.org/10.1002/smj.3153</v>
          </cell>
        </row>
        <row r="57">
          <cell r="B57" t="str">
            <v>https://doi.org/10.1371/journal.pone.0225783</v>
          </cell>
        </row>
        <row r="58">
          <cell r="B58" t="str">
            <v>https://doi.org/10.1002/ajhb.23485</v>
          </cell>
        </row>
        <row r="59">
          <cell r="B59" t="str">
            <v>https://doi.org/10.1177/00139165211065008</v>
          </cell>
        </row>
        <row r="60">
          <cell r="B60" t="str">
            <v>https://doi.org/10.1126/sciadv.abn0929</v>
          </cell>
        </row>
        <row r="61">
          <cell r="B61" t="str">
            <v>https://doi.org/10.1017/epi.2022.14</v>
          </cell>
        </row>
        <row r="62">
          <cell r="B62" t="str">
            <v>https://doi.org/10.1186/s12954-020-00454-4</v>
          </cell>
        </row>
        <row r="63">
          <cell r="B63" t="str">
            <v>https://doi.org/10.1093/geront/gnac023</v>
          </cell>
        </row>
        <row r="64">
          <cell r="B64" t="str">
            <v>https://doi.org/10.1007/978-3-030-64171-9</v>
          </cell>
        </row>
        <row r="65">
          <cell r="B65" t="str">
            <v>https://doi.org/10.1177/00027162221084663</v>
          </cell>
        </row>
        <row r="66">
          <cell r="B66" t="str">
            <v>https://doi.org/10.1017/s0144686x21000234</v>
          </cell>
        </row>
        <row r="67">
          <cell r="B67" t="str">
            <v>https://doi.org/10.1145/3531146.3534637</v>
          </cell>
        </row>
        <row r="68">
          <cell r="B68" t="str">
            <v>https://doi.org/10.1111/joms.12863</v>
          </cell>
        </row>
        <row r="69">
          <cell r="B69" t="str">
            <v>https://doi.org/10.1016/j.worlddev.2022.106056</v>
          </cell>
        </row>
        <row r="70">
          <cell r="B70" t="str">
            <v>https://doi.org/10.1136/tsaco-2020-000469</v>
          </cell>
        </row>
        <row r="71">
          <cell r="B71" t="str">
            <v>https://doi.org/10.1016/j.aap.2020.105540</v>
          </cell>
        </row>
        <row r="72">
          <cell r="B72" t="str">
            <v>https://doi.org/10.1007/s42438-023-00414-8</v>
          </cell>
        </row>
        <row r="73">
          <cell r="B73" t="str">
            <v>https://doi.org/10.1002/jia2.25913</v>
          </cell>
        </row>
        <row r="74">
          <cell r="B74" t="str">
            <v>https://doi.org/10.2196/32452</v>
          </cell>
        </row>
        <row r="75">
          <cell r="B75" t="str">
            <v>https://doi.org/10.1017/cls.2020.2</v>
          </cell>
        </row>
        <row r="76">
          <cell r="B76" t="str">
            <v>https://doi.org/10.1080/07352166.2020.1773837</v>
          </cell>
        </row>
        <row r="77">
          <cell r="B77" t="str">
            <v>https://doi.org/10.1192/bjo.2020.3</v>
          </cell>
        </row>
        <row r="78">
          <cell r="B78" t="str">
            <v>https://doi.org/10.1016/j.jtrangeo.2021.103122</v>
          </cell>
        </row>
        <row r="79">
          <cell r="B79" t="str">
            <v>https://doi.org/10.1080/13876988.2021.1894074</v>
          </cell>
        </row>
        <row r="80">
          <cell r="B80" t="str">
            <v>https://doi.org/10.1371/journal.pone.0277769</v>
          </cell>
        </row>
        <row r="81">
          <cell r="B81" t="str">
            <v>https://doi.org/10.1186/s12889-021-12438-5</v>
          </cell>
        </row>
        <row r="82">
          <cell r="B82" t="str">
            <v>https://doi.org/10.1016/j.polgeo.2022.102670</v>
          </cell>
        </row>
        <row r="83">
          <cell r="B83" t="str">
            <v>https://doi.org/10.1086/720154</v>
          </cell>
        </row>
        <row r="84">
          <cell r="B84" t="str">
            <v>https://doi.org/10.1080/17524032.2021.1981419</v>
          </cell>
        </row>
        <row r="85">
          <cell r="B85" t="str">
            <v>https://doi.org/10.1017/9781316875544</v>
          </cell>
        </row>
        <row r="86">
          <cell r="B86" t="str">
            <v>https://doi.org/10.1177/10497323211002489</v>
          </cell>
        </row>
        <row r="87">
          <cell r="B87" t="str">
            <v>https://doi.org/10.1007/s10488-020-01008-3</v>
          </cell>
        </row>
        <row r="88">
          <cell r="B88" t="str">
            <v>https://doi.org/10.1002/pan3.10090</v>
          </cell>
        </row>
        <row r="89">
          <cell r="B89" t="str">
            <v>https://doi.org/10.26828/cannabis.2020.02.003</v>
          </cell>
        </row>
        <row r="90">
          <cell r="B90" t="str">
            <v>https://doi.org/10.1016/j.cub.2022.07.067</v>
          </cell>
        </row>
        <row r="91">
          <cell r="B91" t="str">
            <v>https://doi.org/10.1017/9781316875544</v>
          </cell>
        </row>
        <row r="92">
          <cell r="B92" t="str">
            <v>https://doi.org/10.3390/su12177016</v>
          </cell>
        </row>
        <row r="93">
          <cell r="B93" t="str">
            <v>https://doi.org/10.1016/j.resourpol.2020.101869</v>
          </cell>
        </row>
        <row r="94">
          <cell r="B94" t="str">
            <v>https://doi.org/10.1080/25741292.2024.2353929</v>
          </cell>
        </row>
        <row r="95">
          <cell r="B95" t="str">
            <v>https://doi.org/10.1017/s0008423920000207</v>
          </cell>
        </row>
        <row r="96">
          <cell r="B96" t="str">
            <v>https://doi.org/10.1002/epa2.1142</v>
          </cell>
        </row>
        <row r="97">
          <cell r="B97" t="str">
            <v>https://doi.org/10.1002/smj.3471</v>
          </cell>
        </row>
        <row r="98">
          <cell r="B98" t="str">
            <v>https://doi.org/10.1186/s12992-022-00802-y</v>
          </cell>
        </row>
        <row r="99">
          <cell r="B99" t="str">
            <v>https://doi.org/10.1016/j.envsci.2021.10.012</v>
          </cell>
        </row>
        <row r="100">
          <cell r="B100" t="str">
            <v>https://doi.org/10.1111/ropr.12448</v>
          </cell>
        </row>
        <row r="101">
          <cell r="B101" t="str">
            <v>https://doi.org/10.1108/ils-08-2019-0086</v>
          </cell>
        </row>
        <row r="102">
          <cell r="B102" t="str">
            <v>https://doi.org/10.1139/cjfr-2024-0092</v>
          </cell>
        </row>
        <row r="103">
          <cell r="B103" t="str">
            <v>https://doi.org/10.1007/s10903-022-01422-9</v>
          </cell>
        </row>
        <row r="104">
          <cell r="B104" t="str">
            <v>https://doi.org/10.3390/fi14060161</v>
          </cell>
        </row>
        <row r="105">
          <cell r="B105" t="str">
            <v>https://doi.org/10.1139/facets-2020-0080</v>
          </cell>
        </row>
        <row r="106">
          <cell r="B106" t="str">
            <v>https://doi.org/10.1016/j.resourpol.2021.102152</v>
          </cell>
        </row>
        <row r="107">
          <cell r="B107" t="str">
            <v>https://doi.org/10.1080/26395916.2021.1995046</v>
          </cell>
        </row>
        <row r="108">
          <cell r="B108" t="str">
            <v>https://doi.org/10.3390/philosophies6010014</v>
          </cell>
        </row>
        <row r="109">
          <cell r="B109" t="str">
            <v>https://doi.org/10.1136/bmjopen-2020-047597</v>
          </cell>
        </row>
        <row r="110">
          <cell r="B110" t="str">
            <v>https://doi.org/10.1016/j.habitatint.2023.102812</v>
          </cell>
        </row>
        <row r="111">
          <cell r="B111" t="str">
            <v>https://doi.org/10.1016/j.envsci.2023.02.023</v>
          </cell>
        </row>
        <row r="112">
          <cell r="B112" t="str">
            <v>https://doi.org/10.1038/s41598-022-22630-1</v>
          </cell>
        </row>
        <row r="113">
          <cell r="B113" t="str">
            <v>https://doi.org/10.1177/0952076720977588</v>
          </cell>
        </row>
        <row r="114">
          <cell r="B114" t="str">
            <v>https://doi.org/10.1093/isq/sqac048</v>
          </cell>
        </row>
        <row r="115">
          <cell r="B115" t="str">
            <v>https://doi.org/10.1017/s0021911820002314</v>
          </cell>
        </row>
        <row r="116">
          <cell r="B116" t="str">
            <v>https://doi.org/10.1016/j.wsif.2023.102781</v>
          </cell>
        </row>
        <row r="117">
          <cell r="B117" t="str">
            <v>https://doi.org/10.1002/pan3.10211</v>
          </cell>
        </row>
        <row r="118">
          <cell r="B118" t="str">
            <v>https://doi.org/10.1080/26892618.2021.1955806</v>
          </cell>
        </row>
        <row r="119">
          <cell r="B119" t="str">
            <v>https://doi.org/10.1017/dap.2021.33</v>
          </cell>
        </row>
        <row r="120">
          <cell r="B120" t="str">
            <v>https://doi.org/10.1186/s12939-022-01679-4</v>
          </cell>
        </row>
        <row r="121">
          <cell r="B121" t="str">
            <v>https://doi.org/10.1080/08111146.2020.1768841</v>
          </cell>
        </row>
        <row r="122">
          <cell r="B122" t="str">
            <v>https://doi.org/10.1093/geront/gnab115</v>
          </cell>
        </row>
        <row r="123">
          <cell r="B123" t="str">
            <v>https://doi.org/10.1016/j.jcrimjus.2022.101881</v>
          </cell>
        </row>
        <row r="124">
          <cell r="B124" t="str">
            <v>https://doi.org/10.37016/mr-2020-82</v>
          </cell>
        </row>
        <row r="125">
          <cell r="B125" t="str">
            <v>https://doi.org/10.1017/9781107323728</v>
          </cell>
        </row>
        <row r="126">
          <cell r="B126" t="str">
            <v>https://doi.org/10.1111/1365-2664.14239</v>
          </cell>
        </row>
        <row r="127">
          <cell r="B127" t="str">
            <v>https://doi.org/10.1139/facets-2021-0133</v>
          </cell>
        </row>
        <row r="128">
          <cell r="B128" t="str">
            <v>https://doi.org/10.1108/jaar-04-2022-0086</v>
          </cell>
        </row>
        <row r="129">
          <cell r="B129" t="str">
            <v>https://doi.org/10.1093/geront/gnad088</v>
          </cell>
        </row>
        <row r="130">
          <cell r="B130" t="str">
            <v>https://doi.org/10.1016/j.enpol.2021.112532</v>
          </cell>
        </row>
        <row r="131">
          <cell r="B131" t="str">
            <v>https://doi.org/10.1111/hsc.13871</v>
          </cell>
        </row>
        <row r="132">
          <cell r="B132" t="str">
            <v>https://doi.org/10.1007/s11292-021-09495-6</v>
          </cell>
        </row>
        <row r="133">
          <cell r="B133" t="str">
            <v>https://doi.org/10.1002/bse.3060</v>
          </cell>
        </row>
        <row r="134">
          <cell r="B134" t="str">
            <v>https://doi.org/10.3390/su141811600</v>
          </cell>
        </row>
        <row r="135">
          <cell r="B135" t="str">
            <v>https://doi.org/10.1186/s12888-021-03142-0</v>
          </cell>
        </row>
        <row r="136">
          <cell r="B136" t="str">
            <v>https://doi.org/10.1177/0706743720902616</v>
          </cell>
        </row>
        <row r="137">
          <cell r="B137" t="str">
            <v>https://doi.org/10.3389/fnut.2022.928837</v>
          </cell>
        </row>
        <row r="138">
          <cell r="B138" t="str">
            <v>https://doi.org/10.1093/isr/viac047</v>
          </cell>
        </row>
        <row r="139">
          <cell r="B139" t="str">
            <v>https://doi.org/10.24908/ss.v21i1.14609</v>
          </cell>
        </row>
        <row r="140">
          <cell r="B140" t="str">
            <v>https://doi.org/10.1108/jbim-10-2022-0469</v>
          </cell>
        </row>
        <row r="141">
          <cell r="B141" t="str">
            <v>https://doi.org/10.1002/berj.3730</v>
          </cell>
        </row>
        <row r="142">
          <cell r="B142" t="str">
            <v>https://doi.org/10.1057/s42984-020-00029-4</v>
          </cell>
        </row>
        <row r="143">
          <cell r="B143" t="str">
            <v>https://doi.org/10.1016/j.jue.2021.103405</v>
          </cell>
        </row>
        <row r="144">
          <cell r="B144" t="str">
            <v>https://doi.org/10.1177/10755470231162634</v>
          </cell>
        </row>
        <row r="145">
          <cell r="B145" t="str">
            <v>https://doi.org/10.5210/fm.v25i9.10801</v>
          </cell>
        </row>
        <row r="146">
          <cell r="B146" t="str">
            <v>https://doi.org/10.1099/mgen.0.000450</v>
          </cell>
        </row>
        <row r="147">
          <cell r="B147" t="str">
            <v>https://doi.org/10.31219/osf.io/azrxm</v>
          </cell>
        </row>
        <row r="148">
          <cell r="B148" t="str">
            <v>https://doi.org/10.1080/16549716.2020.1802097</v>
          </cell>
        </row>
        <row r="149">
          <cell r="B149" t="str">
            <v>https://doi.org/10.1093/isr/viab004</v>
          </cell>
        </row>
        <row r="150">
          <cell r="B150" t="str">
            <v>https://doi.org/10.1002/wps.20736</v>
          </cell>
        </row>
        <row r="151">
          <cell r="B151" t="str">
            <v>https://doi.org/10.37016/mr-2020-40</v>
          </cell>
        </row>
        <row r="152">
          <cell r="B152" t="str">
            <v>https://doi.org/10.1007/s00521-022-07296-0</v>
          </cell>
        </row>
        <row r="153">
          <cell r="B153" t="str">
            <v>https://doi.org/10.3390/ijerph19010005</v>
          </cell>
        </row>
        <row r="154">
          <cell r="B154" t="str">
            <v>https://doi.org/10.1093/isq/sqab093</v>
          </cell>
        </row>
        <row r="155">
          <cell r="B155" t="str">
            <v>https://doi.org/10.1093/bjc/azaa029</v>
          </cell>
        </row>
        <row r="156">
          <cell r="B156" t="str">
            <v>https://doi.org/10.1016/j.drugalcdep.2022.109633</v>
          </cell>
        </row>
        <row r="157">
          <cell r="B157" t="str">
            <v>https://doi.org/10.1080/21650020.2023.2296891</v>
          </cell>
        </row>
        <row r="158">
          <cell r="B158" t="str">
            <v>https://doi.org/10.1093/oso/9780197658130.001.0001</v>
          </cell>
        </row>
        <row r="159">
          <cell r="B159" t="str">
            <v>https://doi.org/10.1177/14687984221124179</v>
          </cell>
        </row>
        <row r="160">
          <cell r="B160" t="str">
            <v>https://doi.org/10.1177/0042098020949080</v>
          </cell>
        </row>
        <row r="161">
          <cell r="B161" t="str">
            <v>https://doi.org/10.3390/su14138132</v>
          </cell>
        </row>
        <row r="162">
          <cell r="B162" t="str">
            <v>https://doi.org/10.1080/10282580.2021.1881893</v>
          </cell>
        </row>
        <row r="163">
          <cell r="B163" t="str">
            <v>https://doi.org/10.1080/0735648x.2020.1856706</v>
          </cell>
        </row>
        <row r="164">
          <cell r="B164" t="str">
            <v>https://doi.org/10.1386/ejac_00008_1</v>
          </cell>
        </row>
        <row r="165">
          <cell r="B165" t="str">
            <v>https://doi.org/10.2196/37007</v>
          </cell>
        </row>
        <row r="166">
          <cell r="B166" t="str">
            <v>https://doi.org/10.1093/polsoc/puad026</v>
          </cell>
        </row>
        <row r="167">
          <cell r="B167" t="str">
            <v>https://doi.org/10.1016/j.bir.2021.05.004</v>
          </cell>
        </row>
        <row r="168">
          <cell r="B168" t="str">
            <v>https://doi.org/10.17645/pag.v9i2.4170</v>
          </cell>
        </row>
        <row r="169">
          <cell r="B169" t="str">
            <v>https://doi.org/10.1186/s12954-023-00852-4</v>
          </cell>
        </row>
        <row r="170">
          <cell r="B170" t="str">
            <v>https://doi.org/10.1111/1467-8500.12564</v>
          </cell>
        </row>
        <row r="171">
          <cell r="B171" t="str">
            <v>https://doi.org/10.1177/1470594x231158657</v>
          </cell>
        </row>
        <row r="172">
          <cell r="B172" t="str">
            <v>https://doi.org/10.1146/annurev-lawsocsci-021020-105357</v>
          </cell>
        </row>
        <row r="173">
          <cell r="B173" t="str">
            <v>https://doi.org/10.1080/03003930.2020.1857246</v>
          </cell>
        </row>
        <row r="174">
          <cell r="B174" t="str">
            <v>https://doi.org/10.1080/14680777.2021.1922487</v>
          </cell>
        </row>
        <row r="175">
          <cell r="B175" t="str">
            <v>https://doi.org/10.1111/cag.12797</v>
          </cell>
        </row>
        <row r="176">
          <cell r="B176" t="str">
            <v>https://doi.org/10.3389/frai.2024.1426761</v>
          </cell>
        </row>
        <row r="177">
          <cell r="B177" t="str">
            <v>https://doi.org/10.3390/ijerph192214857</v>
          </cell>
        </row>
        <row r="178">
          <cell r="B178" t="str">
            <v>https://doi.org/10.1080/01634372.2022.2087128</v>
          </cell>
        </row>
        <row r="179">
          <cell r="B179" t="str">
            <v>https://doi.org/10.1080/23748834.2021.1926657</v>
          </cell>
        </row>
        <row r="180">
          <cell r="B180" t="str">
            <v>https://doi.org/10.1371/journal.pclm.0000307</v>
          </cell>
        </row>
        <row r="181">
          <cell r="B181" t="str">
            <v>https://doi.org/10.1111/emre.12443</v>
          </cell>
        </row>
        <row r="182">
          <cell r="B182" t="str">
            <v>https://doi.org/10.1371/journal.pgph.0001131</v>
          </cell>
        </row>
        <row r="183">
          <cell r="B183" t="str">
            <v>https://doi.org/10.1016/j.jcae.2023.100363</v>
          </cell>
        </row>
        <row r="184">
          <cell r="B184" t="str">
            <v>https://doi.org/10.1080/14702436.2022.2137494</v>
          </cell>
        </row>
        <row r="185">
          <cell r="B185" t="str">
            <v>https://doi.org/10.1007/s11615-022-00395-6</v>
          </cell>
        </row>
        <row r="186">
          <cell r="B186" t="str">
            <v>https://doi.org/10.1057/s41311-021-00309-0</v>
          </cell>
        </row>
        <row r="187">
          <cell r="B187" t="str">
            <v>https://doi.org/10.1007/s11191-021-00253-8</v>
          </cell>
        </row>
        <row r="188">
          <cell r="B188" t="str">
            <v>https://doi.org/10.1016/j.tree.2024.01.001</v>
          </cell>
        </row>
        <row r="189">
          <cell r="B189" t="str">
            <v>https://doi.org/10.21203/rs.3.rs-759005/v1</v>
          </cell>
        </row>
        <row r="190">
          <cell r="B190" t="str">
            <v>https://doi.org/10.1371/journal.pgph.0000078</v>
          </cell>
        </row>
        <row r="191">
          <cell r="B191" t="str">
            <v>https://doi.org/10.1017/gov.2022.26</v>
          </cell>
        </row>
        <row r="192">
          <cell r="B192" t="str">
            <v>https://doi.org/10.1177/14713012221084173</v>
          </cell>
        </row>
        <row r="193">
          <cell r="B193" t="str">
            <v>https://doi.org/10.1016/j.oneear.2024.02.009</v>
          </cell>
        </row>
        <row r="194">
          <cell r="B194" t="str">
            <v>https://doi.org/10.3389/fmars.2023.1045887</v>
          </cell>
        </row>
        <row r="195">
          <cell r="B195" t="str">
            <v>https://doi.org/10.1111/boer.12328</v>
          </cell>
        </row>
        <row r="196">
          <cell r="B196" t="str">
            <v>https://doi.org/10.1111/1467-8500.12630</v>
          </cell>
        </row>
        <row r="197">
          <cell r="B197" t="str">
            <v>https://doi.org/10.1016/j.geoforum.2021.01.019</v>
          </cell>
        </row>
        <row r="198">
          <cell r="B198" t="str">
            <v>https://doi.org/10.1136/bmjopen-2022-061729</v>
          </cell>
        </row>
        <row r="199">
          <cell r="B199" t="str">
            <v>https://doi.org/10.1111/joms.12818</v>
          </cell>
        </row>
        <row r="200">
          <cell r="B200" t="str">
            <v>https://doi.org/10.1016/j.drugpo.2023.104117</v>
          </cell>
        </row>
        <row r="201">
          <cell r="B201" t="str">
            <v>https://doi.org/10.1080/10584609.2022.2137743</v>
          </cell>
        </row>
        <row r="202">
          <cell r="B202" t="str">
            <v>https://doi.org/10.1136/bmjgh-2021-008149</v>
          </cell>
        </row>
        <row r="203">
          <cell r="B203" t="str">
            <v>https://doi.org/10.1007/s40615-023-01598-2</v>
          </cell>
        </row>
        <row r="204">
          <cell r="B204" t="str">
            <v>https://doi.org/10.1016/j.forpol.2020.102119</v>
          </cell>
        </row>
        <row r="205">
          <cell r="B205" t="str">
            <v>https://doi.org/10.3390/v13050926</v>
          </cell>
        </row>
        <row r="206">
          <cell r="B206" t="str">
            <v>https://doi.org/10.1080/09640568.2019.1702512</v>
          </cell>
        </row>
        <row r="207">
          <cell r="B207" t="str">
            <v>https://doi.org/10.3389/fgene.2021.716541</v>
          </cell>
        </row>
        <row r="208">
          <cell r="B208" t="str">
            <v>https://doi.org/10.2196/49416</v>
          </cell>
        </row>
        <row r="209">
          <cell r="B209" t="str">
            <v>https://doi.org/10.51685/jqd.2022.024</v>
          </cell>
        </row>
        <row r="210">
          <cell r="B210" t="str">
            <v>https://doi.org/10.1007/s11524-022-00680-0</v>
          </cell>
        </row>
        <row r="211">
          <cell r="B211" t="str">
            <v>https://doi.org/10.1186/s12913-024-11549-0</v>
          </cell>
        </row>
        <row r="212">
          <cell r="B212" t="str">
            <v>https://doi.org/10.1016/j.pnpbp.2020.110084</v>
          </cell>
        </row>
        <row r="213">
          <cell r="B213" t="str">
            <v>https://doi.org/10.1080/14693062.2021.1949259</v>
          </cell>
        </row>
        <row r="214">
          <cell r="B214" t="str">
            <v>https://doi.org/10.3390/ijerph17249283</v>
          </cell>
        </row>
        <row r="215">
          <cell r="B215" t="str">
            <v>https://doi.org/10.1093/cjres/rsab008</v>
          </cell>
        </row>
        <row r="216">
          <cell r="B216" t="str">
            <v>https://doi.org/10.1177/1363459320912808</v>
          </cell>
        </row>
        <row r="217">
          <cell r="B217" t="str">
            <v>https://doi.org/10.3386/w30368</v>
          </cell>
        </row>
        <row r="218">
          <cell r="B218" t="str">
            <v>https://doi.org/10.1287/isre.2022.1100</v>
          </cell>
        </row>
        <row r="219">
          <cell r="B219" t="str">
            <v>https://doi.org/10.5751/es-15122-290304</v>
          </cell>
        </row>
        <row r="220">
          <cell r="B220" t="str">
            <v>https://doi.org/10.1515/opis-2020-0118</v>
          </cell>
        </row>
        <row r="221">
          <cell r="B221" t="str">
            <v>https://doi.org/10.1016/j.pnpbp.2023.110795</v>
          </cell>
        </row>
        <row r="222">
          <cell r="B222" t="str">
            <v>https://doi.org/10.1186/s12888-023-04945-z</v>
          </cell>
        </row>
        <row r="223">
          <cell r="B223" t="str">
            <v>https://doi.org/10.1080/02673037.2020.1789564</v>
          </cell>
        </row>
        <row r="224">
          <cell r="B224" t="str">
            <v>https://doi.org/10.1177/0706743721989158</v>
          </cell>
        </row>
        <row r="225">
          <cell r="B225" t="str">
            <v>https://doi.org/10.46292/sci21-00056</v>
          </cell>
        </row>
        <row r="226">
          <cell r="B226" t="str">
            <v>https://doi.org/10.1177/16094069231157350</v>
          </cell>
        </row>
        <row r="227">
          <cell r="B227" t="str">
            <v>https://doi.org/10.3389/fpos.2022.834223</v>
          </cell>
        </row>
        <row r="228">
          <cell r="B228" t="str">
            <v>https://doi.org/10.1093/geront/gnad151</v>
          </cell>
        </row>
        <row r="229">
          <cell r="B229" t="str">
            <v>https://doi.org/10.1024/1662-9647/a000301</v>
          </cell>
        </row>
        <row r="230">
          <cell r="B230" t="str">
            <v>https://doi.org/10.1108/978-1-80262-985-920221004</v>
          </cell>
        </row>
        <row r="231">
          <cell r="B231" t="str">
            <v>https://doi.org/10.1177/87569728231173298</v>
          </cell>
        </row>
        <row r="232">
          <cell r="B232" t="str">
            <v>https://doi.org/10.1080/21622671.2023.2196303</v>
          </cell>
        </row>
        <row r="233">
          <cell r="B233" t="str">
            <v>https://doi.org/10.1080/14616742.2022.2075424</v>
          </cell>
        </row>
        <row r="234">
          <cell r="B234" t="str">
            <v>https://doi.org/10.3390/jrfm14080375</v>
          </cell>
        </row>
        <row r="235">
          <cell r="B235" t="str">
            <v>https://doi.org/10.1080/09687637.2021.1872500</v>
          </cell>
        </row>
        <row r="236">
          <cell r="B236" t="str">
            <v>https://doi.org/10.1037/tms0000123</v>
          </cell>
        </row>
        <row r="237">
          <cell r="B237" t="str">
            <v>https://doi.org/10.21810/jicw.v3i2.2374</v>
          </cell>
        </row>
        <row r="238">
          <cell r="B238" t="str">
            <v>https://doi.org/10.24135/dcj.v2i1.16</v>
          </cell>
        </row>
        <row r="239">
          <cell r="B239" t="str">
            <v>https://doi.org/10.1002/ijop.12776</v>
          </cell>
        </row>
        <row r="240">
          <cell r="B240" t="str">
            <v>https://doi.org/10.1080/26892618.2020.1734138</v>
          </cell>
        </row>
        <row r="241">
          <cell r="B241" t="str">
            <v>https://doi.org/10.1080/20551940.2020.1863121</v>
          </cell>
        </row>
        <row r="242">
          <cell r="B242" t="str">
            <v>https://doi.org/10.1111/obr.13623</v>
          </cell>
        </row>
        <row r="243">
          <cell r="B243" t="str">
            <v>https://doi.org/10.30636/jbpa.51.292</v>
          </cell>
        </row>
        <row r="244">
          <cell r="B244" t="str">
            <v>https://doi.org/10.3389/feduc.2022.936724</v>
          </cell>
        </row>
        <row r="245">
          <cell r="B245" t="str">
            <v>https://doi.org/10.12688/wellcomeopenres.17244.2</v>
          </cell>
        </row>
        <row r="246">
          <cell r="B246" t="str">
            <v>https://doi.org/10.1108/ijpsm-02-2021-0050</v>
          </cell>
        </row>
        <row r="247">
          <cell r="B247" t="str">
            <v>https://doi.org/10.1002/smj.3503</v>
          </cell>
        </row>
        <row r="248">
          <cell r="B248" t="str">
            <v>https://doi.org/10.1007/s13178-023-00900-5</v>
          </cell>
        </row>
        <row r="249">
          <cell r="B249" t="str">
            <v>https://doi.org/10.1093/applin/amac079</v>
          </cell>
        </row>
        <row r="250">
          <cell r="B250" t="str">
            <v>https://doi.org/10.3389/fnbeh.2020.00097</v>
          </cell>
        </row>
        <row r="251">
          <cell r="B251" t="str">
            <v>https://doi.org/10.1017/s0033291720004444</v>
          </cell>
        </row>
        <row r="252">
          <cell r="B252" t="str">
            <v>https://doi.org/10.1097/mlr.0000000000001335</v>
          </cell>
        </row>
        <row r="253">
          <cell r="B253" t="str">
            <v>https://doi.org/10.1136/bmjopen-2022-066522</v>
          </cell>
        </row>
        <row r="254">
          <cell r="B254" t="str">
            <v>https://doi.org/10.1002/jcop.22455</v>
          </cell>
        </row>
        <row r="255">
          <cell r="B255" t="str">
            <v>https://doi.org/10.1007/s13178-020-00452-y</v>
          </cell>
        </row>
        <row r="256">
          <cell r="B256" t="str">
            <v>https://doi.org/10.1145/3447548.3470818</v>
          </cell>
        </row>
        <row r="257">
          <cell r="B257" t="str">
            <v>https://doi.org/10.1016/j.ijlp.2023.101908</v>
          </cell>
        </row>
        <row r="258">
          <cell r="B258" t="str">
            <v>https://doi.org/10.3389/fpsyg.2023.1181872</v>
          </cell>
        </row>
        <row r="259">
          <cell r="B259" t="str">
            <v>https://doi.org/10.1080/02673037.2021.1900548</v>
          </cell>
        </row>
        <row r="260">
          <cell r="B260" t="str">
            <v>https://doi.org/10.5210/spir.v2021i0.12093</v>
          </cell>
        </row>
        <row r="261">
          <cell r="B261" t="str">
            <v>https://doi.org/10.1111/tgis.12712</v>
          </cell>
        </row>
        <row r="262">
          <cell r="B262" t="str">
            <v>https://doi.org/10.1109/tnse.2023.3330450</v>
          </cell>
        </row>
        <row r="263">
          <cell r="B263" t="str">
            <v>https://doi.org/10.1080/17440572.2022.2068525</v>
          </cell>
        </row>
        <row r="264">
          <cell r="B264" t="str">
            <v>https://doi.org/10.1136/bmjgh-2022-011211</v>
          </cell>
        </row>
        <row r="265">
          <cell r="B265" t="str">
            <v>https://doi.org/10.1080/07418825.2020.1856399</v>
          </cell>
        </row>
        <row r="266">
          <cell r="B266" t="str">
            <v>https://doi.org/10.1080/19317611.2023.2201841</v>
          </cell>
        </row>
        <row r="267">
          <cell r="B267" t="str">
            <v>https://doi.org/10.1080/21622671.2023.2243996</v>
          </cell>
        </row>
        <row r="268">
          <cell r="B268" t="str">
            <v>https://doi.org/10.1177/20539517231164118</v>
          </cell>
        </row>
        <row r="269">
          <cell r="B269" t="str">
            <v>https://doi.org/10.3390/socsci12100549</v>
          </cell>
        </row>
        <row r="270">
          <cell r="B270" t="str">
            <v>https://doi.org/10.1177/00207020221076402</v>
          </cell>
        </row>
        <row r="271">
          <cell r="B271" t="str">
            <v>https://doi.org/10.1097/j.pain.0000000000002619</v>
          </cell>
        </row>
        <row r="272">
          <cell r="B272" t="str">
            <v>https://doi.org/10.1186/s12889-024-20597-4</v>
          </cell>
        </row>
        <row r="273">
          <cell r="B273" t="str">
            <v>https://doi.org/10.1590/scielopreprints.7366</v>
          </cell>
        </row>
        <row r="274">
          <cell r="B274" t="str">
            <v>https://doi.org/10.1186/s12889-022-12903-9</v>
          </cell>
        </row>
        <row r="275">
          <cell r="B275" t="str">
            <v>https://doi.org/10.1215/9781478024408</v>
          </cell>
        </row>
        <row r="276">
          <cell r="B276" t="str">
            <v>https://doi.org/10.1080/23311886.2022.2117927</v>
          </cell>
        </row>
        <row r="277">
          <cell r="B277" t="str">
            <v>https://doi.org/10.1386/eta_00050_3</v>
          </cell>
        </row>
        <row r="278">
          <cell r="B278" t="str">
            <v>https://doi.org/10.1016/j.ssmqr.2022.100192</v>
          </cell>
        </row>
        <row r="279">
          <cell r="B279" t="str">
            <v>https://doi.org/10.1002/jip.1604</v>
          </cell>
        </row>
        <row r="280">
          <cell r="B280" t="str">
            <v>https://doi.org/10.1111/capa.12543</v>
          </cell>
        </row>
        <row r="281">
          <cell r="B281" t="str">
            <v>https://doi.org/10.1080/10530789.2023.2174565</v>
          </cell>
        </row>
        <row r="282">
          <cell r="B282" t="str">
            <v>https://doi.org/10.1057/s41599-024-03804-w</v>
          </cell>
        </row>
        <row r="284">
          <cell r="B284" t="str">
            <v>https://doi.org/10.1080/10826084.2021.1958865</v>
          </cell>
        </row>
        <row r="285">
          <cell r="B285" t="str">
            <v>https://doi.org/10.1017/s0144686x21000477</v>
          </cell>
        </row>
        <row r="286">
          <cell r="B286" t="str">
            <v>https://doi.org/10.1080/09540121.2021.1929813</v>
          </cell>
        </row>
        <row r="287">
          <cell r="B287" t="str">
            <v>https://doi.org/10.1093/fsr/owad048</v>
          </cell>
        </row>
        <row r="288">
          <cell r="B288" t="str">
            <v>https://doi.org/10.1177/08862605221118611</v>
          </cell>
        </row>
        <row r="289">
          <cell r="B289" t="str">
            <v>https://doi.org/10.1007/s10584-020-02777-4</v>
          </cell>
        </row>
        <row r="290">
          <cell r="B290" t="str">
            <v>https://doi.org/10.1215/00219118-10849752</v>
          </cell>
        </row>
        <row r="291">
          <cell r="B291" t="str">
            <v>https://doi.org/10.1002/gps.5985</v>
          </cell>
        </row>
        <row r="292">
          <cell r="B292" t="str">
            <v>https://doi.org/10.5206/ijoh.2022.1.13455</v>
          </cell>
        </row>
        <row r="293">
          <cell r="B293" t="str">
            <v>https://doi.org/10.3390/nu14224882</v>
          </cell>
        </row>
        <row r="294">
          <cell r="B294" t="str">
            <v>https://doi.org/10.1007/978-3-030-57089-7_12</v>
          </cell>
        </row>
        <row r="295">
          <cell r="B295" t="str">
            <v>https://doi.org/10.1016/j.jadr.2021.100229</v>
          </cell>
        </row>
        <row r="296">
          <cell r="B296" t="str">
            <v>https://doi.org/10.1080/23340460.2020.1789430</v>
          </cell>
        </row>
        <row r="297">
          <cell r="B297" t="str">
            <v>https://doi.org/10.1017/psrm.2022.46</v>
          </cell>
        </row>
        <row r="298">
          <cell r="B298" t="str">
            <v>https://doi.org/10.1038/s44183-024-00093-3</v>
          </cell>
        </row>
        <row r="299">
          <cell r="B299" t="str">
            <v>https://doi.org/10.1177/0044118x221140929</v>
          </cell>
        </row>
        <row r="300">
          <cell r="B300" t="str">
            <v>https://doi.org/10.1038/s41598-021-96186-x</v>
          </cell>
        </row>
        <row r="301">
          <cell r="B301" t="str">
            <v>https://doi.org/10.3389/phrs.2023.1606110</v>
          </cell>
        </row>
        <row r="302">
          <cell r="B302" t="str">
            <v>https://doi.org/10.1080/03003930.2022.2045277</v>
          </cell>
        </row>
        <row r="303">
          <cell r="B303" t="str">
            <v>https://doi.org/10.51291/2377-7478.1648</v>
          </cell>
        </row>
        <row r="304">
          <cell r="B304" t="str">
            <v>https://doi.org/10.1007/s00267-020-01384-4</v>
          </cell>
        </row>
        <row r="305">
          <cell r="B305" t="str">
            <v>https://doi.org/10.1002/pan3.10688</v>
          </cell>
        </row>
        <row r="306">
          <cell r="B306" t="str">
            <v>https://doi.org/10.1016/j.jdeveco.2020.102516</v>
          </cell>
        </row>
        <row r="307">
          <cell r="B307" t="str">
            <v>https://doi.org/10.1093/bjc/azab086</v>
          </cell>
        </row>
        <row r="308">
          <cell r="B308" t="str">
            <v>https://doi.org/10.1016/j.trip.2024.101062</v>
          </cell>
        </row>
        <row r="309">
          <cell r="B309" t="str">
            <v>https://doi.org/10.1002/leap.1599</v>
          </cell>
        </row>
        <row r="310">
          <cell r="B310" t="str">
            <v>https://doi.org/10.1007/978-3-031-68020-5_2</v>
          </cell>
        </row>
        <row r="311">
          <cell r="B311" t="str">
            <v>https://doi.org/10.29173/cjnser585</v>
          </cell>
        </row>
        <row r="312">
          <cell r="B312" t="str">
            <v>https://doi.org/10.1080/01436597.2020.1736544</v>
          </cell>
        </row>
        <row r="313">
          <cell r="B313" t="str">
            <v>https://doi.org/10.1177/07311214231193355</v>
          </cell>
        </row>
        <row r="314">
          <cell r="B314" t="str">
            <v>https://doi.org/10.1101/2022.02.03.479041</v>
          </cell>
        </row>
        <row r="315">
          <cell r="B315" t="str">
            <v>https://doi.org/10.1017/s0008423920000888</v>
          </cell>
        </row>
        <row r="316">
          <cell r="B316" t="str">
            <v>https://doi.org/10.1111/hsc.13289</v>
          </cell>
        </row>
        <row r="317">
          <cell r="B317" t="str">
            <v>https://doi.org/10.33423/jhetp.v22i16.5615</v>
          </cell>
        </row>
        <row r="318">
          <cell r="B318" t="str">
            <v>https://doi.org/10.3390/rel13040363</v>
          </cell>
        </row>
        <row r="319">
          <cell r="B319" t="str">
            <v>https://doi.org/10.1007/978-3-031-47044-8_5</v>
          </cell>
        </row>
        <row r="320">
          <cell r="B320" t="str">
            <v>https://doi.org/10.1016/j.marpol.2024.106116</v>
          </cell>
        </row>
        <row r="321">
          <cell r="B321" t="str">
            <v>https://doi.org/10.1108/ijssp-09-2021-0245</v>
          </cell>
        </row>
        <row r="322">
          <cell r="B322" t="str">
            <v>https://doi.org/10.5204/mcj.2852</v>
          </cell>
        </row>
        <row r="323">
          <cell r="B323" t="str">
            <v>https://doi.org/10.5117/9789463720762</v>
          </cell>
        </row>
        <row r="324">
          <cell r="B324" t="str">
            <v>https://doi.org/10.1007/978-3-030-64171-9_1</v>
          </cell>
        </row>
        <row r="325">
          <cell r="B325" t="str">
            <v>https://doi.org/10.1007/978-3-031-05020-6</v>
          </cell>
        </row>
        <row r="326">
          <cell r="B326" t="str">
            <v>https://doi.org/10.1007/s10796-022-10359-1</v>
          </cell>
        </row>
        <row r="327">
          <cell r="B327" t="str">
            <v>https://doi.org/10.24251/hicss.2023.266</v>
          </cell>
        </row>
        <row r="328">
          <cell r="B328" t="str">
            <v>https://doi.org/10.1108/tg-12-2022-0166</v>
          </cell>
        </row>
        <row r="329">
          <cell r="B329" t="str">
            <v>https://doi.org/10.1016/j.drugalcdep.2021.108829</v>
          </cell>
        </row>
        <row r="330">
          <cell r="B330" t="str">
            <v>https://doi.org/10.1145/3613904.3642012</v>
          </cell>
        </row>
        <row r="331">
          <cell r="B331" t="str">
            <v>https://doi.org/10.1037/prj0000575</v>
          </cell>
        </row>
        <row r="332">
          <cell r="B332" t="str">
            <v>https://doi.org/10.1177/0739456x241247838</v>
          </cell>
        </row>
        <row r="333">
          <cell r="B333" t="str">
            <v>https://doi.org/10.54656/jces.v15i2.525</v>
          </cell>
        </row>
        <row r="334">
          <cell r="B334" t="str">
            <v>https://doi.org/10.1080/23748834.2024.2314382</v>
          </cell>
        </row>
        <row r="335">
          <cell r="B335" t="str">
            <v>https://doi.org/10.1080/14708477.2019.1674866</v>
          </cell>
        </row>
        <row r="336">
          <cell r="B336" t="str">
            <v>https://doi.org/10.3389/fcomm.2023.1260540</v>
          </cell>
        </row>
        <row r="337">
          <cell r="B337" t="str">
            <v>https://doi.org/10.1080/29941849.2024.2314024</v>
          </cell>
        </row>
        <row r="338">
          <cell r="B338" t="str">
            <v>https://doi.org/10.32920/23657004.v1</v>
          </cell>
        </row>
        <row r="339">
          <cell r="B339" t="str">
            <v>https://doi.org/10.18584/iipj.2023.14.3.14677</v>
          </cell>
        </row>
        <row r="340">
          <cell r="B340" t="str">
            <v>https://doi.org/10.20343/teachlearninqu.11.10</v>
          </cell>
        </row>
        <row r="341">
          <cell r="B341" t="str">
            <v>https://doi.org/10.1007/978-3-031-49084-2_22</v>
          </cell>
        </row>
        <row r="342">
          <cell r="B342" t="str">
            <v>https://doi.org/10.1007/978-981-16-5864-8_6</v>
          </cell>
        </row>
        <row r="343">
          <cell r="B343" t="str">
            <v>https://doi.org/10.1080/0965254x.2020.1853200</v>
          </cell>
        </row>
        <row r="344">
          <cell r="B344" t="str">
            <v>https://doi.org/10.1093/jlb/lsad014</v>
          </cell>
        </row>
        <row r="345">
          <cell r="B345" t="str">
            <v>https://doi.org/10.3390/ijerph20054403</v>
          </cell>
        </row>
        <row r="346">
          <cell r="B346" t="str">
            <v>https://doi.org/10.17645/mac.v11i3.6838</v>
          </cell>
        </row>
        <row r="347">
          <cell r="B347" t="str">
            <v>https://doi.org/10.1007/978-3-030-89559-4</v>
          </cell>
        </row>
        <row r="348">
          <cell r="B348" t="str">
            <v>https://doi.org/10.1371/journal.pone.0296920</v>
          </cell>
        </row>
        <row r="349">
          <cell r="B349" t="str">
            <v>https://doi.org/10.14254/1795-6889.2024.20-3.4</v>
          </cell>
        </row>
        <row r="350">
          <cell r="B350" t="str">
            <v>https://doi.org/10.16997/jdd.1043</v>
          </cell>
        </row>
        <row r="351">
          <cell r="B351" t="str">
            <v>https://doi.org/10.1007/978-3-030-57089-7_1</v>
          </cell>
        </row>
        <row r="352">
          <cell r="B352" t="str">
            <v>https://doi.org/10.1079/9781800622975.0016</v>
          </cell>
        </row>
        <row r="353">
          <cell r="B353" t="str">
            <v>https://doi.org/10.1007/978-3-030-96386-6_7</v>
          </cell>
        </row>
        <row r="354">
          <cell r="B354" t="str">
            <v>https://doi.org/10.3389/fpsyg.2021.718818</v>
          </cell>
        </row>
        <row r="355">
          <cell r="B355" t="str">
            <v>https://doi.org/10.1111/abac.12344</v>
          </cell>
        </row>
        <row r="356">
          <cell r="B356" t="str">
            <v>https://doi.org/10.35467/sdq/190799</v>
          </cell>
        </row>
        <row r="357">
          <cell r="B357" t="str">
            <v>https://doi.org/10.21428/cb6ab371.e1ca98a9</v>
          </cell>
        </row>
        <row r="358">
          <cell r="B358" t="str">
            <v>https://doi.org/10.1016/j.wss.2020.100008</v>
          </cell>
        </row>
        <row r="359">
          <cell r="B359" t="str">
            <v>https://doi.org/10.1080/19361610.2021.2005503</v>
          </cell>
        </row>
        <row r="360">
          <cell r="B360" t="str">
            <v>https://doi.org/10.1016/j.psychres.2023.115331</v>
          </cell>
        </row>
        <row r="361">
          <cell r="B361" t="str">
            <v>https://doi.org/10.1016/j.wss.2024.100223</v>
          </cell>
        </row>
        <row r="362">
          <cell r="B362" t="str">
            <v>https://doi.org/10.5281/zenodo.3988104</v>
          </cell>
        </row>
        <row r="363">
          <cell r="B363" t="str">
            <v>https://doi.org/10.1080/23276665.2023.2270085</v>
          </cell>
        </row>
        <row r="364">
          <cell r="B364" t="str">
            <v>https://doi.org/10.2217/fvl-2021-0266</v>
          </cell>
        </row>
        <row r="365">
          <cell r="B365" t="str">
            <v>https://doi.org/10.1136/bmjno-2022-000349</v>
          </cell>
        </row>
        <row r="366">
          <cell r="B366" t="str">
            <v>https://doi.org/10.18584/iipj.2021.12.4.11153</v>
          </cell>
        </row>
        <row r="367">
          <cell r="B367" t="str">
            <v>https://doi.org/10.1080/10630732.2024.2444238</v>
          </cell>
        </row>
        <row r="368">
          <cell r="B368" t="str">
            <v>https://doi.org/10.1080/13854046.2024.2325167</v>
          </cell>
        </row>
        <row r="369">
          <cell r="B369" t="str">
            <v>https://doi.org/10.1111/hic3.12679</v>
          </cell>
        </row>
        <row r="370">
          <cell r="B370" t="str">
            <v>https://doi.org/10.1108/ijoph-08-2023-0052</v>
          </cell>
        </row>
        <row r="371">
          <cell r="B371" t="str">
            <v>https://doi.org/10.1080/01972243.2022.2076180</v>
          </cell>
        </row>
        <row r="372">
          <cell r="B372" t="str">
            <v>https://doi.org/10.1136/bmjopen-2022-067736</v>
          </cell>
        </row>
        <row r="373">
          <cell r="B373" t="str">
            <v>https://doi.org/10.1080/10510974.2023.2169730</v>
          </cell>
        </row>
        <row r="374">
          <cell r="B374" t="str">
            <v>https://doi.org/10.17269/s41997-023-00843-9</v>
          </cell>
        </row>
        <row r="375">
          <cell r="B375" t="str">
            <v>https://doi.org/10.1111/cag.12645</v>
          </cell>
        </row>
        <row r="376">
          <cell r="B376" t="str">
            <v>https://doi.org/10.1007/978-3-030-34390-3_26</v>
          </cell>
        </row>
        <row r="377">
          <cell r="B377" t="str">
            <v>https://doi.org/10.1177/01634437231225031</v>
          </cell>
        </row>
        <row r="378">
          <cell r="B378" t="str">
            <v>https://doi.org/10.3389/fpubh.2021.605695</v>
          </cell>
        </row>
        <row r="379">
          <cell r="B379" t="str">
            <v>https://doi.org/10.1080/02697459.2024.2425249</v>
          </cell>
        </row>
        <row r="380">
          <cell r="B380" t="str">
            <v>https://doi.org/10.46697/001c.18164</v>
          </cell>
        </row>
        <row r="381">
          <cell r="B381" t="str">
            <v>https://doi.org/10.3389/fmars.2024.1336030</v>
          </cell>
        </row>
        <row r="382">
          <cell r="B382" t="str">
            <v>https://doi.org/10.3389/fpsyg.2021.571423</v>
          </cell>
        </row>
        <row r="383">
          <cell r="B383" t="str">
            <v>https://doi.org/10.1080/17441692.2020.1866637</v>
          </cell>
        </row>
        <row r="384">
          <cell r="B384" t="str">
            <v>https://doi.org/10.1177/10497323231167829</v>
          </cell>
        </row>
        <row r="385">
          <cell r="B385" t="str">
            <v>https://doi.org/10.16997/ats.1206</v>
          </cell>
        </row>
        <row r="386">
          <cell r="B386" t="str">
            <v>https://doi.org/10.1139/facets-2022-0048</v>
          </cell>
        </row>
        <row r="387">
          <cell r="B387" t="str">
            <v>https://doi.org/10.1017/s0022216x22000426</v>
          </cell>
        </row>
        <row r="388">
          <cell r="B388" t="str">
            <v>https://doi.org/10.35293/srsa.v37i1.223</v>
          </cell>
        </row>
        <row r="389">
          <cell r="B389" t="str">
            <v>https://doi.org/10.1079/onehealthcases.2024.0001</v>
          </cell>
        </row>
        <row r="390">
          <cell r="B390" t="str">
            <v>https://doi.org/10.1177/10892680241289577</v>
          </cell>
        </row>
        <row r="391">
          <cell r="B391" t="str">
            <v>https://doi.org/10.1007/978-3-030-65161-9_10</v>
          </cell>
        </row>
        <row r="392">
          <cell r="B392" t="str">
            <v>https://doi.org/10.1177/10780874221101393</v>
          </cell>
        </row>
        <row r="393">
          <cell r="B393" t="str">
            <v>https://doi.org/10.1007/s11159-022-09980-8</v>
          </cell>
        </row>
        <row r="394">
          <cell r="B394" t="str">
            <v>https://doi.org/10.5281/zenodo.5495559</v>
          </cell>
        </row>
        <row r="395">
          <cell r="B395" t="str">
            <v>https://doi.org/10.1111/sjtg.12539</v>
          </cell>
        </row>
        <row r="396">
          <cell r="B396" t="str">
            <v>https://doi.org/10.1177/0169796x20962878</v>
          </cell>
        </row>
        <row r="397">
          <cell r="B397" t="str">
            <v>https://doi.org/10.1016/j.jcrimjus.2024.102299</v>
          </cell>
        </row>
        <row r="398">
          <cell r="B398" t="str">
            <v>https://doi.org/10.2478/njms-2023-0003</v>
          </cell>
        </row>
        <row r="399">
          <cell r="B399" t="str">
            <v>https://doi.org/10.1080/15614263.2023.2246620</v>
          </cell>
        </row>
        <row r="400">
          <cell r="B400" t="str">
            <v>https://doi.org/10.1080/13854046.2023.2178513</v>
          </cell>
        </row>
        <row r="401">
          <cell r="B401" t="str">
            <v>https://doi.org/10.26522/ssj.v18i3.4801</v>
          </cell>
        </row>
        <row r="402">
          <cell r="B402" t="str">
            <v>https://doi.org/10.1016/j.jpsychires.2024.01.003</v>
          </cell>
        </row>
        <row r="403">
          <cell r="B403" t="str">
            <v>https://doi.org/10.1080/19460171.2022.2078987</v>
          </cell>
        </row>
        <row r="404">
          <cell r="B404" t="str">
            <v>https://doi.org/10.1007/978-3-030-47150-7_16</v>
          </cell>
        </row>
        <row r="405">
          <cell r="B405" t="str">
            <v>https://doi.org/10.1080/10999922.2023.2240623</v>
          </cell>
        </row>
        <row r="406">
          <cell r="B406" t="str">
            <v>https://doi.org/10.5509/2022954685</v>
          </cell>
        </row>
        <row r="407">
          <cell r="B407" t="str">
            <v>https://doi.org/10.1080/1369118x.2021.1974521</v>
          </cell>
        </row>
        <row r="408">
          <cell r="B408" t="str">
            <v>https://doi.org/10.1007/978-3-031-05020-6_9</v>
          </cell>
        </row>
        <row r="409">
          <cell r="B409" t="str">
            <v>https://doi.org/10.1123/ssj.2023-0183</v>
          </cell>
        </row>
        <row r="410">
          <cell r="B410" t="str">
            <v>https://doi.org/10.1111/hic3.12680</v>
          </cell>
        </row>
        <row r="411">
          <cell r="B411" t="str">
            <v>https://doi.org/10.1016/j.jce.2020.10.004</v>
          </cell>
        </row>
        <row r="412">
          <cell r="B412" t="str">
            <v>https://doi.org/10.1177/14782103211001635</v>
          </cell>
        </row>
        <row r="413">
          <cell r="B413" t="str">
            <v>https://doi.org/10.1111/ilr.12440</v>
          </cell>
        </row>
        <row r="414">
          <cell r="B414" t="str">
            <v>https://doi.org/10.1186/s12889-024-19805-y</v>
          </cell>
        </row>
        <row r="415">
          <cell r="B415" t="str">
            <v>https://doi.org/10.32866/001c.13207</v>
          </cell>
        </row>
        <row r="416">
          <cell r="B416" t="str">
            <v>https://doi.org/10.1371/journal.pone.0288539</v>
          </cell>
        </row>
        <row r="417">
          <cell r="B417" t="str">
            <v>https://doi.org/10.1080/13604813.2021.1988346</v>
          </cell>
        </row>
        <row r="418">
          <cell r="B418" t="str">
            <v>https://doi.org/10.1016/s2665-9913(24)00341-2</v>
          </cell>
        </row>
        <row r="419">
          <cell r="B419" t="str">
            <v>https://doi.org/10.1080/13549839.2024.2360721</v>
          </cell>
        </row>
        <row r="420">
          <cell r="B420" t="str">
            <v>https://doi.org/10.1525/gp.2023.57547</v>
          </cell>
        </row>
        <row r="421">
          <cell r="B421" t="str">
            <v>https://doi.org/10.1080/10550887.2022.2088014</v>
          </cell>
        </row>
        <row r="422">
          <cell r="B422" t="str">
            <v>https://doi.org/10.1177/00207152241279297</v>
          </cell>
        </row>
        <row r="423">
          <cell r="B423" t="str">
            <v>https://doi.org/10.2139/ssrn.4238098</v>
          </cell>
        </row>
        <row r="424">
          <cell r="B424" t="str">
            <v>https://doi.org/10.1177/10755470241285405</v>
          </cell>
        </row>
        <row r="425">
          <cell r="B425" t="str">
            <v>https://doi.org/10.1016/j.vaccine.2024.01.003</v>
          </cell>
        </row>
        <row r="426">
          <cell r="B426" t="str">
            <v>https://doi.org/10.1016/b978-0-323-90386-8.00046-2</v>
          </cell>
        </row>
        <row r="427">
          <cell r="B427" t="str">
            <v>https://doi.org/10.1111/acfi.13299</v>
          </cell>
        </row>
        <row r="428">
          <cell r="B428" t="str">
            <v>https://doi.org/10.1080/1461670x.2024.2358116</v>
          </cell>
        </row>
        <row r="429">
          <cell r="B429" t="str">
            <v>https://doi.org/10.1108/jhom-09-2020-0370</v>
          </cell>
        </row>
        <row r="430">
          <cell r="B430" t="str">
            <v>https://doi.org/10.3389/fdgth.2024.1484503</v>
          </cell>
        </row>
        <row r="431">
          <cell r="B431" t="str">
            <v>https://doi.org/10.1016/s2352-3018(23)00106-6</v>
          </cell>
        </row>
        <row r="432">
          <cell r="B432" t="str">
            <v>https://doi.org/10.1080/10246029.2024.2341864</v>
          </cell>
        </row>
        <row r="433">
          <cell r="B433" t="str">
            <v>https://doi.org/10.1007/978-3-030-23210-8_128</v>
          </cell>
        </row>
        <row r="434">
          <cell r="B434" t="str">
            <v>https://doi.org/10.21203/rs.3.rs-36858/v1</v>
          </cell>
        </row>
        <row r="435">
          <cell r="B435" t="str">
            <v>https://doi.org/10.1111/abac.12279</v>
          </cell>
        </row>
        <row r="436">
          <cell r="B436" t="str">
            <v>https://doi.org/10.2139/ssrn.4795006</v>
          </cell>
        </row>
        <row r="437">
          <cell r="B437" t="str">
            <v>https://doi.org/10.1007/s42413-020-00062-x</v>
          </cell>
        </row>
        <row r="438">
          <cell r="B438" t="str">
            <v>https://doi.org/10.1086/717512</v>
          </cell>
        </row>
        <row r="439">
          <cell r="B439" t="str">
            <v>https://doi.org/10.1080/14635240.2022.2059543</v>
          </cell>
        </row>
        <row r="440">
          <cell r="B440" t="str">
            <v>https://doi.org/10.1007/978-3-030-61452-2_10</v>
          </cell>
        </row>
        <row r="441">
          <cell r="B441" t="str">
            <v>https://doi.org/10.1080/01495933.2023.2263334</v>
          </cell>
        </row>
        <row r="442">
          <cell r="B442" t="str">
            <v>https://doi.org/10.7202/1072328ar</v>
          </cell>
        </row>
        <row r="443">
          <cell r="B443" t="str">
            <v>https://doi.org/10.1257/pandp.20211100</v>
          </cell>
        </row>
        <row r="444">
          <cell r="B444" t="str">
            <v>https://doi.org/10.1080/01436597.2023.2251895</v>
          </cell>
        </row>
        <row r="445">
          <cell r="B445" t="str">
            <v>https://doi.org/10.1007/s42413-020-00065-8</v>
          </cell>
        </row>
        <row r="446">
          <cell r="B446" t="str">
            <v>https://doi.org/10.3390/su151914378</v>
          </cell>
        </row>
        <row r="447">
          <cell r="B447" t="str">
            <v>https://doi.org/10.1111/fme.12627</v>
          </cell>
        </row>
        <row r="448">
          <cell r="B448" t="str">
            <v>https://doi.org/10.1186/s41239-024-00483-0</v>
          </cell>
        </row>
        <row r="449">
          <cell r="B449" t="str">
            <v>https://doi.org/10.15402/esj.v8i4.70792</v>
          </cell>
        </row>
        <row r="450">
          <cell r="B450" t="str">
            <v>https://doi.org/10.1057/s41253-024-00261-4</v>
          </cell>
        </row>
        <row r="451">
          <cell r="B451" t="str">
            <v>https://doi.org/10.36939/cjur/vol30no1/art317</v>
          </cell>
        </row>
        <row r="452">
          <cell r="B452" t="str">
            <v>https://doi.org/10.1093/geroni/igab046.1128</v>
          </cell>
        </row>
        <row r="453">
          <cell r="B453" t="str">
            <v>https://doi.org/10.2196/48707</v>
          </cell>
        </row>
        <row r="454">
          <cell r="B454" t="str">
            <v>https://doi.org/10.1093/oxfordhb/9780198861126.013.15</v>
          </cell>
        </row>
        <row r="455">
          <cell r="B455" t="str">
            <v>https://doi.org/10.1108/978-1-80455-686-320241022</v>
          </cell>
        </row>
        <row r="456">
          <cell r="B456" t="str">
            <v>https://doi.org/10.7202/1114709ar</v>
          </cell>
        </row>
        <row r="457">
          <cell r="B457" t="str">
            <v>https://doi.org/10.24908/cpp-apc.v2024i2.17778</v>
          </cell>
        </row>
        <row r="458">
          <cell r="B458" t="str">
            <v>https://doi.org/10.1016/s2468-2667(24)00044-6</v>
          </cell>
        </row>
        <row r="459">
          <cell r="B459" t="str">
            <v>https://doi.org/10.1007/s10878-020-00588-y</v>
          </cell>
        </row>
        <row r="460">
          <cell r="B460" t="str">
            <v>https://doi.org/10.1093/geroni/igaa057.2489</v>
          </cell>
        </row>
        <row r="461">
          <cell r="B461" t="str">
            <v>https://doi.org/10.1093/geroni/igab046.1130</v>
          </cell>
        </row>
        <row r="462">
          <cell r="B462" t="str">
            <v>https://doi.org/10.1371/journal.pone.0314749</v>
          </cell>
        </row>
        <row r="463">
          <cell r="B463" t="str">
            <v>https://doi.org/10.3390/ijerph20136260</v>
          </cell>
        </row>
        <row r="464">
          <cell r="B464" t="str">
            <v>https://doi.org/10.31219/osf.io/4ts53</v>
          </cell>
        </row>
        <row r="465">
          <cell r="B465" t="str">
            <v>https://doi.org/10.2139/ssrn.5045673</v>
          </cell>
        </row>
        <row r="466">
          <cell r="B466" t="str">
            <v>https://doi.org/10.1016/j.wneu.2020.02.133</v>
          </cell>
        </row>
        <row r="467">
          <cell r="B467" t="str">
            <v>https://doi.org/10.1080/17460794.2024.2421666</v>
          </cell>
        </row>
        <row r="468">
          <cell r="B468" t="str">
            <v>https://doi.org/10.1186/s12939-024-02352-8</v>
          </cell>
        </row>
        <row r="469">
          <cell r="B469" t="str">
            <v>https://doi.org/10.1142/9789811296642_0011</v>
          </cell>
        </row>
        <row r="470">
          <cell r="B470" t="str">
            <v>https://doi.org/10.55016/ojs/sppp.v13i1.69445</v>
          </cell>
        </row>
        <row r="471">
          <cell r="B471" t="str">
            <v>https://doi.org/10.3390/journalmedia4040072</v>
          </cell>
        </row>
        <row r="472">
          <cell r="B472" t="str">
            <v>https://doi.org/10.1093/geroni/igac059.1451</v>
          </cell>
        </row>
        <row r="473">
          <cell r="B473" t="str">
            <v>https://doi.org/10.1007/978-3-030-49540-4_17</v>
          </cell>
        </row>
        <row r="474">
          <cell r="B474" t="str">
            <v>https://doi.org/10.1093/geroni/igac059.2311</v>
          </cell>
        </row>
        <row r="475">
          <cell r="B475" t="str">
            <v>https://doi.org/10.1093/geroni/igad104.0738</v>
          </cell>
        </row>
        <row r="476">
          <cell r="B476" t="str">
            <v>https://doi.org/10.24095/hpcdp.42.5.02</v>
          </cell>
        </row>
        <row r="477">
          <cell r="B477" t="str">
            <v>https://doi.org/10.22215/cjcr.v10i2.4225</v>
          </cell>
        </row>
        <row r="478">
          <cell r="B478" t="str">
            <v>https://doi.org/10.1136/injuryprev-2021-safety.116</v>
          </cell>
        </row>
        <row r="479">
          <cell r="B479" t="str">
            <v>https://doi.org/10.1093/geroni/igaa057.135</v>
          </cell>
        </row>
        <row r="480">
          <cell r="B480" t="str">
            <v>https://doi.org/10.2196/52018</v>
          </cell>
        </row>
        <row r="481">
          <cell r="B481" t="str">
            <v>https://doi.org/10.1016/j.energy.2024.132560</v>
          </cell>
        </row>
        <row r="482">
          <cell r="B482" t="str">
            <v>https://doi.org/10.1007/978-981-99-2760-9_7</v>
          </cell>
        </row>
        <row r="483">
          <cell r="B483" t="str">
            <v>https://doi.org/10.1093/geroni/igae098.1107</v>
          </cell>
        </row>
        <row r="484">
          <cell r="B484" t="str">
            <v>https://doi.org/10.7910/dvn/nxesna</v>
          </cell>
        </row>
        <row r="485">
          <cell r="B485" t="str">
            <v>https://doi.org/10.5117/9789462988293_ch09</v>
          </cell>
        </row>
        <row r="486">
          <cell r="B486" t="str">
            <v>https://doi.org/10.32920/23657004</v>
          </cell>
        </row>
        <row r="487">
          <cell r="B487" t="str">
            <v>https://doi.org/10.32866/001c.90533</v>
          </cell>
        </row>
        <row r="488">
          <cell r="B488" t="str">
            <v>https://doi.org/10.1590/1678-9865202437e230139</v>
          </cell>
        </row>
        <row r="489">
          <cell r="B489" t="str">
            <v>https://doi.org/10.1002/pra2.1108</v>
          </cell>
        </row>
        <row r="490">
          <cell r="B490" t="str">
            <v>https://doi.org/10.7565/ssp.v4.5199</v>
          </cell>
        </row>
        <row r="491">
          <cell r="B491" t="str">
            <v>https://doi.org/10.1007/978-981-99-2760-9_4</v>
          </cell>
        </row>
        <row r="492">
          <cell r="B492" t="str">
            <v>https://doi.org/10.1016/j.cub.2020.08.060</v>
          </cell>
        </row>
        <row r="493">
          <cell r="B493" t="str">
            <v>https://doi.org/10.25236/ijfs.2022.041307</v>
          </cell>
        </row>
        <row r="494">
          <cell r="B494" t="str">
            <v>https://doi.org/10.1080/02701960.2022.2088534</v>
          </cell>
        </row>
        <row r="495">
          <cell r="B495" t="str">
            <v>https://doi.org/10.1080/09687599.2023.2299344</v>
          </cell>
        </row>
        <row r="496">
          <cell r="B496" t="str">
            <v>https://doi.org/10.1200/po.24.00184</v>
          </cell>
        </row>
        <row r="497">
          <cell r="B497" t="str">
            <v>https://doi.org/10.1007/978-3-031-68020-5_11</v>
          </cell>
        </row>
        <row r="498">
          <cell r="B498" t="str">
            <v>https://doi.org/10.5465/ambpp.2020.11994symposium</v>
          </cell>
        </row>
        <row r="499">
          <cell r="B499" t="str">
            <v>https://doi.org/10.21203/rs.3.rs-36858/v2</v>
          </cell>
        </row>
        <row r="500">
          <cell r="B500" t="str">
            <v>https://doi.org/10.1016/s2214-109x(24)00123-2</v>
          </cell>
        </row>
        <row r="501">
          <cell r="B501" t="str">
            <v>https://doi.org/10.22720/hnmr.2022.6.2.299</v>
          </cell>
        </row>
        <row r="502">
          <cell r="B502" t="str">
            <v>https://doi.org/10.1590/1413-81232024293.06732023</v>
          </cell>
        </row>
        <row r="503">
          <cell r="B503" t="str">
            <v>https://doi.org/10.1017/9781107323728</v>
          </cell>
        </row>
        <row r="504">
          <cell r="B504" t="str">
            <v>https://doi.org/10.1590/1413-81232024293.06732023en</v>
          </cell>
        </row>
        <row r="505">
          <cell r="B505" t="str">
            <v>https://doi.org/10.1007/978-981-16-5379-7_5</v>
          </cell>
        </row>
        <row r="506">
          <cell r="B506" t="str">
            <v>https://doi.org/10.1139/facets-2023-0033</v>
          </cell>
        </row>
        <row r="507">
          <cell r="B507" t="str">
            <v>https://doi.org/10.12681/historein.24980</v>
          </cell>
        </row>
        <row r="508">
          <cell r="B508" t="str">
            <v>https://doi.org/10.1007/978-3-030-89559-4_2</v>
          </cell>
        </row>
        <row r="509">
          <cell r="B509" t="str">
            <v>https://doi.org/10.33282/abaa.v14i56.878</v>
          </cell>
        </row>
        <row r="510">
          <cell r="B510" t="str">
            <v>https://doi.org/10.3389/fpsyg.2024.1374330</v>
          </cell>
        </row>
        <row r="511">
          <cell r="B511" t="str">
            <v>https://doi.org/10.5206/ijoh.2023.3.16988</v>
          </cell>
        </row>
        <row r="512">
          <cell r="B512" t="str">
            <v>https://doi.org/10.12927/hcpap.2023.26994</v>
          </cell>
        </row>
        <row r="513">
          <cell r="B513" t="str">
            <v>https://doi.org/10.21203/rs.3.rs-2603067/v1</v>
          </cell>
        </row>
        <row r="514">
          <cell r="B514" t="str">
            <v>https://doi.org/10.1371/journal.pone.0294608</v>
          </cell>
        </row>
        <row r="515">
          <cell r="B515" t="str">
            <v>https://doi.org/10.24135/dcj.v4i1.38</v>
          </cell>
        </row>
        <row r="516">
          <cell r="B516" t="str">
            <v>https://doi.org/10.1080/14680777.2020.1785910</v>
          </cell>
        </row>
        <row r="517">
          <cell r="B517" t="str">
            <v>https://doi.org/10.2139/ssrn.3898749</v>
          </cell>
        </row>
        <row r="518">
          <cell r="B518" t="str">
            <v>https://doi.org/10.1111/capa.12588</v>
          </cell>
        </row>
        <row r="519">
          <cell r="B519" t="str">
            <v>https://doi.org/10.1007/978-981-19-5065-0_4</v>
          </cell>
        </row>
        <row r="520">
          <cell r="B520" t="str">
            <v>https://doi.org/10.2139/ssrn.4165777</v>
          </cell>
        </row>
        <row r="521">
          <cell r="B521" t="str">
            <v>https://doi.org/10.25300/misq/2024/18049</v>
          </cell>
        </row>
        <row r="523">
          <cell r="B523" t="str">
            <v>https://doi.org/10.1007/978-3-031-72182-3_8</v>
          </cell>
        </row>
        <row r="524">
          <cell r="B524" t="str">
            <v>https://doi.org/10.1017/s0008423923000069</v>
          </cell>
        </row>
        <row r="525">
          <cell r="B525" t="str">
            <v>https://doi.org/10.1007/978-3-031-29937-7_5</v>
          </cell>
        </row>
        <row r="526">
          <cell r="B526" t="str">
            <v>https://doi.org/10.32920/ryerson.14656866.v1</v>
          </cell>
        </row>
        <row r="527">
          <cell r="B527" t="str">
            <v>https://doi.org/10.32920/ryerson.14656866</v>
          </cell>
        </row>
        <row r="528">
          <cell r="B528" t="str">
            <v>https://doi.org/10.1289/isee.2021.o-sy-104</v>
          </cell>
        </row>
        <row r="529">
          <cell r="B529" t="str">
            <v>https://doi.org/10.21926/obm.geriatr.2401267</v>
          </cell>
        </row>
        <row r="530">
          <cell r="B530" t="str">
            <v>https://doi.org/10.1093/geroni/igab046.2039</v>
          </cell>
        </row>
        <row r="531">
          <cell r="B531" t="str">
            <v>https://doi.org/10.1093/geroni/igab046.1131</v>
          </cell>
        </row>
        <row r="532">
          <cell r="B532" t="str">
            <v>https://doi.org/10.24124/2023/59436</v>
          </cell>
        </row>
        <row r="533">
          <cell r="B533" t="str">
            <v>https://doi.org/10.1093/geroni/igad104.0207</v>
          </cell>
        </row>
        <row r="534">
          <cell r="B534" t="str">
            <v>https://doi.org/10.1007/978-3-030-66252-3_1312</v>
          </cell>
        </row>
        <row r="535">
          <cell r="B535" t="str">
            <v>https://doi.org/10.2139/ssrn.5063451</v>
          </cell>
        </row>
        <row r="536">
          <cell r="B536" t="str">
            <v>https://doi.org/10.2139/ssrn.5008666</v>
          </cell>
        </row>
        <row r="537">
          <cell r="B537" t="str">
            <v>https://doi.org/10.1007/978-3-031-68020-5_5</v>
          </cell>
        </row>
        <row r="538">
          <cell r="B538" t="str">
            <v>https://doi.org/10.5117/9789463720762_ch04</v>
          </cell>
        </row>
        <row r="539">
          <cell r="B539" t="str">
            <v>https://doi.org/10.21203/rs.3.rs-5283574/v1</v>
          </cell>
        </row>
        <row r="540">
          <cell r="B540" t="str">
            <v>https://doi.org/10.2139/ssrn.4809777</v>
          </cell>
        </row>
        <row r="541">
          <cell r="B541" t="str">
            <v>https://doi.org/10.1007/978-3-030-22767-8_182</v>
          </cell>
        </row>
        <row r="542">
          <cell r="B542" t="str">
            <v>https://doi.org/10.1007/s11212-024-09647-0</v>
          </cell>
        </row>
        <row r="544">
          <cell r="B544" t="str">
            <v>https://doi.org/10.2196/preprints.49416</v>
          </cell>
        </row>
        <row r="545">
          <cell r="B545" t="str">
            <v>https://doi.org/10.64628/aam.f7g75n5pq</v>
          </cell>
        </row>
        <row r="546">
          <cell r="B546" t="str">
            <v>https://doi.org/10.1093/geroni/igaa057.2491</v>
          </cell>
        </row>
        <row r="547">
          <cell r="B547" t="str">
            <v>https://doi.org/10.64628/aam.q4qcsenve</v>
          </cell>
        </row>
        <row r="548">
          <cell r="B548" t="str">
            <v>https://doi.org/10.1093/geroni/igac059.883</v>
          </cell>
        </row>
        <row r="549">
          <cell r="B549" t="str">
            <v>https://doi.org/10.3138/uhr-2022-0033</v>
          </cell>
        </row>
        <row r="550">
          <cell r="B550" t="str">
            <v>https://doi.org/10.2196/preprints.32452</v>
          </cell>
        </row>
        <row r="551">
          <cell r="B551" t="str">
            <v>https://doi.org/10.1093/geroni/igae098.0949</v>
          </cell>
        </row>
        <row r="552">
          <cell r="B552" t="str">
            <v>https://doi.org/10.1093/geroni/igaa057.2488</v>
          </cell>
        </row>
        <row r="553">
          <cell r="B553" t="str">
            <v>https://doi.org/10.1093/geroni/igaa057.2490</v>
          </cell>
        </row>
        <row r="554">
          <cell r="B554" t="str">
            <v>https://doi.org/10.2139/ssrn.4298634</v>
          </cell>
        </row>
        <row r="555">
          <cell r="B555" t="str">
            <v>https://doi.org/10.1017/9781009264747.014</v>
          </cell>
        </row>
        <row r="556">
          <cell r="B556" t="str">
            <v>https://doi.org/10.1093/geroni/igae098.1108</v>
          </cell>
        </row>
        <row r="557">
          <cell r="B557" t="str">
            <v>https://doi.org/10.21428/cb6ab371.c53e0ad7</v>
          </cell>
        </row>
        <row r="558">
          <cell r="B558" t="str">
            <v>https://doi.org/10.1007/s00406-023-01664-0</v>
          </cell>
        </row>
        <row r="559">
          <cell r="B559" t="str">
            <v>https://doi.org/10.1007/978-3-031-68020-5_13</v>
          </cell>
        </row>
        <row r="560">
          <cell r="B560" t="str">
            <v>https://doi.org/10.1007/978-3-031-25871-8_4</v>
          </cell>
        </row>
        <row r="561">
          <cell r="B561" t="str">
            <v>https://doi.org/10.32920/ryerson.14648874</v>
          </cell>
        </row>
        <row r="562">
          <cell r="B562" t="str">
            <v>https://doi.org/10.32920/ryerson.14648874.v1</v>
          </cell>
        </row>
        <row r="563">
          <cell r="B563" t="str">
            <v>https://doi.org/10.1080/1369118x.2021.1961008</v>
          </cell>
        </row>
        <row r="564">
          <cell r="B564" t="str">
            <v>https://doi.org/10.64628/aam.se3hvamd9</v>
          </cell>
        </row>
        <row r="565">
          <cell r="B565" t="str">
            <v>https://doi.org/10.1007/978-3-030-14622-1_85</v>
          </cell>
        </row>
        <row r="566">
          <cell r="B566" t="str">
            <v>https://doi.org/10.1007/978-3-319-68845-9_85-1</v>
          </cell>
        </row>
        <row r="567">
          <cell r="B567" t="str">
            <v>https://doi.org/10.64628/aam.647ydyy7u</v>
          </cell>
        </row>
        <row r="568">
          <cell r="B568" t="str">
            <v>https://doi.org/10.1093/geroni/igae098.1109</v>
          </cell>
        </row>
        <row r="569">
          <cell r="B569" t="str">
            <v>https://doi.org/10.1504/ijima.2021.10037440</v>
          </cell>
        </row>
        <row r="570">
          <cell r="B570" t="str">
            <v>https://doi.org/10.64628/aam.cjy6h6nww</v>
          </cell>
        </row>
        <row r="571">
          <cell r="B571" t="str">
            <v>https://doi.org/10.1017/s1355617723006811</v>
          </cell>
        </row>
        <row r="572">
          <cell r="B572" t="str">
            <v>https://doi.org/10.7870/cjcmh-2020-028</v>
          </cell>
        </row>
        <row r="573">
          <cell r="B573" t="str">
            <v>https://doi.org/10.32316/hse-rhe.2023.5233</v>
          </cell>
        </row>
        <row r="574">
          <cell r="B574" t="str">
            <v>https://doi.org/10.7910/dvn/p9e3wz</v>
          </cell>
        </row>
        <row r="575">
          <cell r="B575" t="str">
            <v>https://doi.org/10.1007/978-3-031-05020-6_1</v>
          </cell>
        </row>
        <row r="576">
          <cell r="B576" t="str">
            <v>https://doi.org/10.1212/wnl.96.15_supplement.2847</v>
          </cell>
        </row>
        <row r="577">
          <cell r="B577" t="str">
            <v>https://doi.org/10.21203/rs.3.rs-3962859/v1</v>
          </cell>
        </row>
        <row r="578">
          <cell r="B578" t="str">
            <v>https://doi.org/10.1101/2021.11.03.21265661</v>
          </cell>
        </row>
        <row r="579">
          <cell r="B579" t="str">
            <v>https://doi.org/10.2196/preprints.44357</v>
          </cell>
        </row>
        <row r="580">
          <cell r="B580" t="str">
            <v>https://doi.org/10.1016/j.biopsych.2022.02.221</v>
          </cell>
        </row>
        <row r="581">
          <cell r="B581" t="str">
            <v>https://doi.org/10.1007/978-3-030-81973-6</v>
          </cell>
        </row>
        <row r="582">
          <cell r="B582" t="str">
            <v>https://doi.org/10.64628/aam.kqjmg7qs7</v>
          </cell>
        </row>
        <row r="583">
          <cell r="B583" t="str">
            <v>https://doi.org/10.64628/aam.n4svsndgm</v>
          </cell>
        </row>
        <row r="584">
          <cell r="B584" t="str">
            <v>https://doi.org/10.64628/aam.9mne6ffn5</v>
          </cell>
        </row>
        <row r="585">
          <cell r="B585" t="str">
            <v>https://doi.org/10.1007/978-3-031-69918-4_9</v>
          </cell>
        </row>
        <row r="586">
          <cell r="B586" t="str">
            <v>https://doi.org/10.1177/1742766520944857</v>
          </cell>
        </row>
        <row r="587">
          <cell r="B587" t="str">
            <v>https://doi.org/10.1017/s2332889400002128</v>
          </cell>
        </row>
        <row r="588">
          <cell r="B588" t="str">
            <v>https://doi.org/10.1111/plar.12492</v>
          </cell>
        </row>
        <row r="589">
          <cell r="B589" t="str">
            <v>https://doi.org/10.36315/2023v2end039</v>
          </cell>
        </row>
        <row r="590">
          <cell r="B590" t="str">
            <v>https://doi.org/10.1142/9789811249723_0016</v>
          </cell>
        </row>
        <row r="591">
          <cell r="B591" t="str">
            <v>https://doi.org/10.1007/978-3-031-68020-5_6</v>
          </cell>
        </row>
        <row r="592">
          <cell r="B592" t="str">
            <v>https://doi.org/10.1007/978-3-031-33317-0_2</v>
          </cell>
        </row>
        <row r="593">
          <cell r="B593" t="str">
            <v>https://doi.org/10.1108/979-8-88730-858-620251003</v>
          </cell>
        </row>
        <row r="594">
          <cell r="B594" t="str">
            <v>https://doi.org/10.1093/geroni/igac059.2304</v>
          </cell>
        </row>
        <row r="595">
          <cell r="B595" t="str">
            <v>https://doi.org/10.1007/978-3-030-34390-3_6</v>
          </cell>
        </row>
        <row r="596">
          <cell r="B596" t="str">
            <v>https://doi.org/10.7910/dvn/macuis</v>
          </cell>
        </row>
        <row r="597">
          <cell r="B597" t="str">
            <v>https://doi.org/10.1212/wnl.96.15_supplement.2918</v>
          </cell>
        </row>
        <row r="598">
          <cell r="B598" t="str">
            <v>https://doi.org/10.1093/geroni/igab046.1534</v>
          </cell>
        </row>
        <row r="599">
          <cell r="B599" t="str">
            <v>https://doi.org/10.55016/ojs/cpai.v4i2.74179</v>
          </cell>
        </row>
        <row r="600">
          <cell r="B600" t="str">
            <v>https://doi.org/10.1093/geroni/igae098.1186</v>
          </cell>
        </row>
        <row r="601">
          <cell r="B601" t="str">
            <v>https://doi.org/10.1007/978-3-031-68020-5_1</v>
          </cell>
        </row>
        <row r="602">
          <cell r="B602" t="str">
            <v>https://doi.org/10.1093/geroni/igae098.2020</v>
          </cell>
        </row>
        <row r="603">
          <cell r="B603" t="str">
            <v>https://doi.org/10.1177/23210222241237041</v>
          </cell>
        </row>
        <row r="604">
          <cell r="B604" t="str">
            <v>https://doi.org/10.1080/10410236.2022.2149112</v>
          </cell>
        </row>
        <row r="605">
          <cell r="B605" t="str">
            <v>https://doi.org/10.1093/geroni/igae098.0022</v>
          </cell>
        </row>
        <row r="606">
          <cell r="B606" t="str">
            <v>https://doi.org/10.1093/geroni/igae098.3531</v>
          </cell>
        </row>
        <row r="607">
          <cell r="B607" t="str">
            <v>https://doi.org/10.1007/s11075-024-01995-6</v>
          </cell>
        </row>
        <row r="608">
          <cell r="B608" t="str">
            <v>https://doi.org/10.1016/j.drugpo.2023.104018</v>
          </cell>
        </row>
        <row r="609">
          <cell r="B609" t="str">
            <v>https://doi.org/10.21203/rs.3.rs-3098049/v1</v>
          </cell>
        </row>
        <row r="610">
          <cell r="B610" t="str">
            <v>https://doi.org/10.1186/s12954-024-01036-4</v>
          </cell>
        </row>
        <row r="611">
          <cell r="B611" t="str">
            <v>https://doi.org/10.1093/geroni/igab046.468</v>
          </cell>
        </row>
        <row r="612">
          <cell r="B612" t="str">
            <v>https://doi.org/10.1007/978-3-031-61819-2_4</v>
          </cell>
        </row>
        <row r="613">
          <cell r="B613" t="str">
            <v>https://doi.org/10.21606/pluriversal.2021.0039</v>
          </cell>
        </row>
        <row r="614">
          <cell r="B614" t="str">
            <v>https://doi.org/10.1017/9781108783453.002</v>
          </cell>
        </row>
        <row r="615">
          <cell r="B615" t="str">
            <v>https://doi.org/10.1017/9781108783453.004</v>
          </cell>
        </row>
        <row r="616">
          <cell r="B616" t="str">
            <v>https://doi.org/10.1007/978-3-030-54169-9_7</v>
          </cell>
        </row>
        <row r="617">
          <cell r="B617" t="str">
            <v>https://doi.org/10.2139/ssrn.4623075</v>
          </cell>
        </row>
        <row r="618">
          <cell r="B618" t="str">
            <v>https://doi.org/10.1161/str.55.suppl_1.wmp99</v>
          </cell>
        </row>
        <row r="619">
          <cell r="B619" t="str">
            <v>https://doi.org/10.1007/978-3-031-05020-6_14</v>
          </cell>
        </row>
        <row r="620">
          <cell r="B620" t="str">
            <v>https://doi.org/10.15173/glj.v14i3.5328</v>
          </cell>
        </row>
        <row r="621">
          <cell r="B621" t="str">
            <v>https://doi.org/10.2139/ssrn.5006291</v>
          </cell>
        </row>
        <row r="622">
          <cell r="B622" t="str">
            <v>https://doi.org/10.1093/geroni/igae098.1327</v>
          </cell>
        </row>
        <row r="623">
          <cell r="B623" t="str">
            <v>https://doi.org/10.2139/ssrn.4919442</v>
          </cell>
        </row>
        <row r="624">
          <cell r="B624" t="str">
            <v>https://doi.org/10.2139/ssrn.4899100</v>
          </cell>
        </row>
        <row r="625">
          <cell r="B625" t="str">
            <v>https://doi.org/10.1007/978-3-031-68020-5_7</v>
          </cell>
        </row>
        <row r="626">
          <cell r="B626" t="str">
            <v>https://doi.org/10.1007/978-3-030-84694-7_51</v>
          </cell>
        </row>
        <row r="627">
          <cell r="B627" t="str">
            <v>https://doi.org/10.23889/ijpds.v9i5.2858</v>
          </cell>
        </row>
        <row r="629">
          <cell r="B629" t="str">
            <v>https://doi.org/10.1093/geroni/igae098.0538</v>
          </cell>
        </row>
        <row r="630">
          <cell r="B630" t="str">
            <v>https://doi.org/10.1093/geroni/igaa057.950</v>
          </cell>
        </row>
        <row r="631">
          <cell r="B631" t="str">
            <v>https://doi.org/10.1016/b978-0-12-817566-8.00002-4</v>
          </cell>
        </row>
        <row r="632">
          <cell r="B632" t="str">
            <v>https://doi.org/10.1080/14797585.2022.2040336</v>
          </cell>
        </row>
        <row r="633">
          <cell r="B633" t="str">
            <v>https://doi.org/10.2139/ssrn.4901049</v>
          </cell>
        </row>
        <row r="634">
          <cell r="B634" t="str">
            <v>https://doi.org/10.1017/9781009243728.017</v>
          </cell>
        </row>
        <row r="635">
          <cell r="B635" t="str">
            <v>https://doi.org/10.5465/amproc.2023.11479abstract</v>
          </cell>
        </row>
        <row r="636">
          <cell r="B636" t="str">
            <v>https://doi.org/10.1007/978-3-031-09716-4_6</v>
          </cell>
        </row>
        <row r="637">
          <cell r="B637" t="str">
            <v>https://doi.org/10.1177/0020702021996315</v>
          </cell>
        </row>
        <row r="638">
          <cell r="B638" t="str">
            <v>https://doi.org/10.1177/02697580241232436</v>
          </cell>
        </row>
        <row r="640">
          <cell r="B640" t="str">
            <v>https://doi.org/10.1093/geroni/igaa057.2718</v>
          </cell>
        </row>
        <row r="641">
          <cell r="B641" t="str">
            <v>https://doi.org/10.14746/prt2021.4.4</v>
          </cell>
        </row>
        <row r="642">
          <cell r="B642" t="str">
            <v>https://doi.org/10.1007/978-3-031-25689-9_6</v>
          </cell>
        </row>
        <row r="644">
          <cell r="B644" t="str">
            <v>https://doi.org/10.1017/9781107323728.025</v>
          </cell>
        </row>
        <row r="645">
          <cell r="B645" t="str">
            <v>https://doi.org/10.1007/978-3-031-68020-5_12</v>
          </cell>
        </row>
        <row r="646">
          <cell r="B646" t="str">
            <v>https://doi.org/10.21428/cb6ab371.06b36557</v>
          </cell>
        </row>
        <row r="647">
          <cell r="B647" t="str">
            <v>https://doi.org/10.1007/978-3-030-88809-1_2</v>
          </cell>
        </row>
        <row r="648">
          <cell r="B648" t="str">
            <v>https://doi.org/10.1007/978-3-030-34390-3_7</v>
          </cell>
        </row>
        <row r="649">
          <cell r="B649" t="str">
            <v>https://doi.org/10.5465/ambpp.2020.18857abstract</v>
          </cell>
        </row>
        <row r="650">
          <cell r="B650" t="str">
            <v>https://doi.org/10.1177/10780874241270067</v>
          </cell>
        </row>
        <row r="651">
          <cell r="B651" t="str">
            <v>https://doi.org/10.1017/9781107323728.024</v>
          </cell>
        </row>
        <row r="652">
          <cell r="B652" t="str">
            <v>https://doi.org/10.1007/978-3-031-67943-8_13</v>
          </cell>
        </row>
        <row r="653">
          <cell r="B653" t="str">
            <v>https://doi.org/10.1017/9781009445504.004</v>
          </cell>
        </row>
        <row r="654">
          <cell r="B654" t="str">
            <v>https://doi.org/10.1093/geroni/igac059.109</v>
          </cell>
        </row>
        <row r="655">
          <cell r="B655" t="str">
            <v>https://doi.org/10.1093/geroni/igac059.884</v>
          </cell>
        </row>
        <row r="656">
          <cell r="B656" t="str">
            <v>https://doi.org/10.5465/amproc.2023.173bp</v>
          </cell>
        </row>
        <row r="657">
          <cell r="B657" t="str">
            <v>https://doi.org/10.1007/978-3-030-22786-9_128-1</v>
          </cell>
        </row>
        <row r="658">
          <cell r="B658" t="str">
            <v>https://doi.org/10.14288/cjur.v6i2.193924</v>
          </cell>
        </row>
        <row r="659">
          <cell r="B659" t="str">
            <v>https://doi.org/10.1007/978-3-031-25689-9_1</v>
          </cell>
        </row>
        <row r="660">
          <cell r="B660" t="str">
            <v>https://doi.org/10.1177/11771801211038395</v>
          </cell>
        </row>
        <row r="661">
          <cell r="B661" t="str">
            <v>https://doi.org/10.3934/math.2023619</v>
          </cell>
        </row>
        <row r="662">
          <cell r="B662" t="str">
            <v>https://doi.org/10.1079/9781789242812.0003</v>
          </cell>
        </row>
        <row r="663">
          <cell r="B663" t="str">
            <v>https://doi.org/10.31235/osf.io/xy874</v>
          </cell>
        </row>
        <row r="664">
          <cell r="B664" t="str">
            <v>https://doi.org/10.1093/geroni/igac059.1581</v>
          </cell>
        </row>
        <row r="665">
          <cell r="B665" t="str">
            <v>https://doi.org/10.1101/2022.04.25.489430</v>
          </cell>
        </row>
        <row r="666">
          <cell r="B666" t="str">
            <v>https://doi.org/10.1007/978-3-031-61966-3_5</v>
          </cell>
        </row>
        <row r="667">
          <cell r="B667" t="str">
            <v>https://doi.org/10.2139/ssrn.4212779</v>
          </cell>
        </row>
        <row r="668">
          <cell r="B668" t="str">
            <v>https://doi.org/10.1016/j.ijedudev.2022.102672</v>
          </cell>
        </row>
        <row r="669">
          <cell r="B669" t="str">
            <v>https://doi.org/10.31234/osf.io/z7fra</v>
          </cell>
        </row>
        <row r="670">
          <cell r="B670" t="str">
            <v>https://doi.org/10.5325/jasiapacipopcult.6.2.0334</v>
          </cell>
        </row>
        <row r="671">
          <cell r="B671" t="str">
            <v>https://doi.org/10.33182/ijor.v1i1.1104</v>
          </cell>
        </row>
        <row r="672">
          <cell r="B672" t="str">
            <v>https://doi.org/10.2196/preprints.44720</v>
          </cell>
        </row>
        <row r="673">
          <cell r="B673" t="str">
            <v>https://doi.org/10.2139/ssrn.4657102</v>
          </cell>
        </row>
        <row r="674">
          <cell r="B674" t="str">
            <v>https://doi.org/10.21810/jicw.v5i2.5056</v>
          </cell>
        </row>
        <row r="675">
          <cell r="B675" t="str">
            <v>https://doi.org/10.18806/tesl.v39i2/1379</v>
          </cell>
        </row>
        <row r="676">
          <cell r="B676" t="str">
            <v>https://doi.org/10.1007/978-3-031-78586-3_8</v>
          </cell>
        </row>
        <row r="677">
          <cell r="B677" t="str">
            <v>https://doi.org/10.16997/10.16997/jdd.1043</v>
          </cell>
        </row>
        <row r="678">
          <cell r="B678" t="str">
            <v>https://doi.org/10.5465/amproc.2023.14743symposium</v>
          </cell>
        </row>
        <row r="679">
          <cell r="B679" t="str">
            <v>https://doi.org/10.2139/ssrn.4102965</v>
          </cell>
        </row>
        <row r="680">
          <cell r="B680" t="str">
            <v>https://doi.org/10.2139/ssrn.4484478</v>
          </cell>
        </row>
        <row r="681">
          <cell r="B681" t="str">
            <v>https://doi.org/10.1017/9781108878142.018</v>
          </cell>
        </row>
        <row r="682">
          <cell r="B682" t="str">
            <v>https://doi.org/10.1007/978-3-030-49540-4_15</v>
          </cell>
        </row>
        <row r="683">
          <cell r="B683" t="str">
            <v>https://doi.org/10.3390/jrfm15090387</v>
          </cell>
        </row>
        <row r="684">
          <cell r="B684" t="str">
            <v>https://doi.org/10.1080/09640568.2024.2362898</v>
          </cell>
        </row>
        <row r="685">
          <cell r="B685" t="str">
            <v>https://doi.org/10.1007/978-3-031-53196-5_13</v>
          </cell>
        </row>
        <row r="686">
          <cell r="B686" t="str">
            <v>https://doi.org/10.1093/geroni/igac059.2070</v>
          </cell>
        </row>
        <row r="687">
          <cell r="B687" t="str">
            <v>https://doi.org/10.29173/pathfinder17</v>
          </cell>
        </row>
        <row r="688">
          <cell r="B688" t="str">
            <v>https://doi.org/10.7557/5.7772</v>
          </cell>
        </row>
        <row r="689">
          <cell r="B689" t="str">
            <v>https://doi.org/10.14506/ca38.1.03</v>
          </cell>
        </row>
        <row r="690">
          <cell r="B690" t="str">
            <v>https://doi.org/10.2139/ssrn.4610405</v>
          </cell>
        </row>
        <row r="691">
          <cell r="B691" t="str">
            <v>https://doi.org/10.1093/jdh/epaa064</v>
          </cell>
        </row>
        <row r="692">
          <cell r="B692" t="str">
            <v>https://doi.org/10.1007/978-981-99-2760-9_6</v>
          </cell>
        </row>
        <row r="693">
          <cell r="B693" t="str">
            <v>https://doi.org/10.2139/ssrn.4596751</v>
          </cell>
        </row>
        <row r="694">
          <cell r="B694" t="str">
            <v>https://doi.org/10.21203/rs.3.rs-889586/v1</v>
          </cell>
        </row>
        <row r="695">
          <cell r="B695" t="str">
            <v>https://doi.org/10.21810/strm.v13i1.321</v>
          </cell>
        </row>
        <row r="696">
          <cell r="B696" t="str">
            <v>https://doi.org/10.5194/isprs-annals-v-4-2020-7-2020</v>
          </cell>
        </row>
        <row r="697">
          <cell r="B697" t="str">
            <v>https://doi.org/10.5194/isprs-archives-xliii-b4-2020-7-2020</v>
          </cell>
        </row>
        <row r="698">
          <cell r="B698" t="str">
            <v>https://doi.org/10.1017/lsi.2022.105</v>
          </cell>
        </row>
        <row r="699">
          <cell r="B699" t="str">
            <v>https://doi.org/10.20933/100001248</v>
          </cell>
        </row>
        <row r="700">
          <cell r="B700" t="str">
            <v>https://doi.org/10.20933/100001249</v>
          </cell>
        </row>
        <row r="701">
          <cell r="B701" t="str">
            <v>https://doi.org/10.1136/annrheumdis-2022-eular.496</v>
          </cell>
        </row>
        <row r="702">
          <cell r="B702" t="str">
            <v>https://doi.org/10.20933/100001252</v>
          </cell>
        </row>
        <row r="703">
          <cell r="B703" t="str">
            <v>https://doi.org/10.20933/100001251</v>
          </cell>
        </row>
        <row r="704">
          <cell r="B704" t="str">
            <v>https://doi.org/10.20933/100001255</v>
          </cell>
        </row>
        <row r="705">
          <cell r="B705" t="str">
            <v>https://doi.org/10.20933/100001250</v>
          </cell>
        </row>
        <row r="706">
          <cell r="B706" t="str">
            <v>https://doi.org/10.20933/100001254</v>
          </cell>
        </row>
        <row r="707">
          <cell r="B707" t="str">
            <v>https://doi.org/10.20933/100001253</v>
          </cell>
        </row>
        <row r="708">
          <cell r="B708" t="str">
            <v>https://doi.org/10.1215/00219118-11280945</v>
          </cell>
        </row>
        <row r="709">
          <cell r="B709" t="str">
            <v>https://doi.org/10.1038/s41562-019-0815-z</v>
          </cell>
        </row>
        <row r="710">
          <cell r="B710" t="str">
            <v>https://doi.org/10.1080/14616734.2020.1840762</v>
          </cell>
        </row>
        <row r="711">
          <cell r="B711" t="str">
            <v>https://doi.org/10.1038/s41467-022-35091-x</v>
          </cell>
        </row>
        <row r="712">
          <cell r="B712" t="str">
            <v>https://doi.org/10.1111/add.16096</v>
          </cell>
        </row>
        <row r="713">
          <cell r="B713" t="str">
            <v>https://doi.org/10.32799/ijih.v16i1.36021</v>
          </cell>
        </row>
        <row r="714">
          <cell r="B714" t="str">
            <v>https://doi.org/10.1080/14616734.2020.1840762</v>
          </cell>
        </row>
        <row r="715">
          <cell r="B715" t="str">
            <v>https://doi.org/10.3389/fmars.2024.1364263</v>
          </cell>
        </row>
        <row r="716">
          <cell r="B716" t="str">
            <v>https://doi.org/10.1017/sus.2023.25</v>
          </cell>
        </row>
        <row r="717">
          <cell r="B717" t="str">
            <v>https://doi.org/10.31234/osf.io/qc8tp</v>
          </cell>
        </row>
        <row r="718">
          <cell r="B718" t="str">
            <v>https://doi.org/10.5093/apj2021a26</v>
          </cell>
        </row>
        <row r="719">
          <cell r="B719" t="str">
            <v>https://doi.org/10.1099/mgen.0.001293</v>
          </cell>
        </row>
      </sheetData>
      <sheetData sheetId="1">
        <row r="2">
          <cell r="M2" t="str">
            <v>10.1016/S0140-6736(22)01585-9</v>
          </cell>
        </row>
        <row r="3">
          <cell r="M3" t="str">
            <v>10.1111/1748-8583.12524</v>
          </cell>
        </row>
        <row r="4">
          <cell r="M4" t="str">
            <v>10.1080/14494035.2020.1787628</v>
          </cell>
        </row>
        <row r="5">
          <cell r="M5" t="str">
            <v>10.1017/S0008423920000396</v>
          </cell>
        </row>
        <row r="6">
          <cell r="M6" t="str">
            <v>10.1177/2158244019900568</v>
          </cell>
        </row>
        <row r="7">
          <cell r="M7" t="str">
            <v>10.1177/1088868320918698</v>
          </cell>
        </row>
        <row r="8">
          <cell r="M8" t="str">
            <v>10.2993/0278-0771-41.2.144</v>
          </cell>
        </row>
        <row r="9">
          <cell r="M9" t="str">
            <v>10.1038/s41576-020-0228-x</v>
          </cell>
        </row>
        <row r="10">
          <cell r="M10" t="str">
            <v>10.1016/j.jclepro.2021.129099</v>
          </cell>
        </row>
        <row r="11">
          <cell r="M11" t="str">
            <v>10.1038/s41562-019-0815-z</v>
          </cell>
        </row>
        <row r="12">
          <cell r="M12" t="str">
            <v>10.1186/s41256-022-00255-1</v>
          </cell>
        </row>
        <row r="13">
          <cell r="M13" t="str">
            <v>10.1177/2053168021993979</v>
          </cell>
        </row>
        <row r="14">
          <cell r="M14" t="str">
            <v>10.1093/biosci/biaa144</v>
          </cell>
        </row>
        <row r="15">
          <cell r="M15" t="str">
            <v>10.1016/S2468-2667(19)30188-4</v>
          </cell>
        </row>
        <row r="16">
          <cell r="M16" t="str">
            <v>10.1080/14616734.2020.1840762</v>
          </cell>
        </row>
        <row r="17">
          <cell r="M17" t="str">
            <v>10.1111/rego.12392</v>
          </cell>
        </row>
        <row r="18">
          <cell r="M18" t="str">
            <v>10.1016/j.marpol.2020.104039</v>
          </cell>
        </row>
        <row r="19">
          <cell r="M19" t="str">
            <v>10.1038/s41467-022-35091-x</v>
          </cell>
        </row>
        <row r="20">
          <cell r="M20" t="str">
            <v>10.1016/j.trip.2022.100602</v>
          </cell>
        </row>
        <row r="21">
          <cell r="M21" t="str">
            <v>10.2993/0278-0771-41.2.170</v>
          </cell>
        </row>
        <row r="22">
          <cell r="M22" t="str">
            <v>10.1016/j.marpol.2022.105383</v>
          </cell>
        </row>
        <row r="23">
          <cell r="M23" t="str">
            <v>10.1016/S0140-6736(23)00012-0</v>
          </cell>
        </row>
        <row r="24">
          <cell r="M24" t="str">
            <v>10.1177/0308518X20904070</v>
          </cell>
        </row>
        <row r="25">
          <cell r="M25" t="str">
            <v>10.1111/add.14947</v>
          </cell>
        </row>
        <row r="26">
          <cell r="M26" t="str">
            <v>10.2105/AJPH.2019.305465</v>
          </cell>
        </row>
        <row r="27">
          <cell r="M27" t="str">
            <v>10.1093/biosci/biac053</v>
          </cell>
        </row>
        <row r="28">
          <cell r="M28" t="str">
            <v>10.1016/j.copsyc.2021.04.009</v>
          </cell>
        </row>
        <row r="29">
          <cell r="M29" t="str">
            <v>10.1016/S0140-6736(21)00215-4</v>
          </cell>
        </row>
        <row r="30">
          <cell r="M30" t="str">
            <v>10.1093/sp/jxz052</v>
          </cell>
        </row>
        <row r="31">
          <cell r="M31" t="str">
            <v>10.1080/19491247.2021.1940686</v>
          </cell>
        </row>
        <row r="32">
          <cell r="M32" t="str">
            <v>10.5465/amp.2021.0076</v>
          </cell>
        </row>
        <row r="33">
          <cell r="M33" t="str">
            <v>10.1126/science.ade4884</v>
          </cell>
        </row>
        <row r="34">
          <cell r="M34" t="str">
            <v>10.3389/fpos.2021.647957</v>
          </cell>
        </row>
        <row r="35">
          <cell r="M35" t="str">
            <v>10.1080/25741292.2020.1824379</v>
          </cell>
        </row>
        <row r="36">
          <cell r="M36" t="str">
            <v>10.1186/s12889-022-12747-3</v>
          </cell>
        </row>
        <row r="37">
          <cell r="M37" t="str">
            <v>10.1186/s12992-020-00656-2</v>
          </cell>
        </row>
        <row r="38">
          <cell r="M38" t="str">
            <v>10.1089/cyber.2020.0663</v>
          </cell>
        </row>
        <row r="39">
          <cell r="M39" t="str">
            <v>10.1038/s44183-023-00015-9</v>
          </cell>
        </row>
        <row r="40">
          <cell r="M40" t="str">
            <v>10.1111/padm.12849</v>
          </cell>
        </row>
        <row r="41">
          <cell r="M41" t="str">
            <v>10.1016/j.healthplace.2021.102605</v>
          </cell>
        </row>
        <row r="42">
          <cell r="M42" t="str">
            <v>10.1016/S2468-2667(21)00070-0</v>
          </cell>
        </row>
        <row r="43">
          <cell r="M43" t="str">
            <v>10.1016/j.marpol.2021.104922</v>
          </cell>
        </row>
        <row r="44">
          <cell r="M44" t="str">
            <v>10.1086/720152</v>
          </cell>
        </row>
        <row r="45">
          <cell r="M45" t="str">
            <v>10.1016/j.isci.2020.101205</v>
          </cell>
        </row>
        <row r="46">
          <cell r="M46" t="str">
            <v>10.1016/j.heliyon.2023.e20544</v>
          </cell>
        </row>
        <row r="47">
          <cell r="M47" t="str">
            <v>10.1016/j.jenvp.2020.101523</v>
          </cell>
        </row>
        <row r="48">
          <cell r="M48" t="str">
            <v>10.3390/su12187245</v>
          </cell>
        </row>
        <row r="49">
          <cell r="M49" t="str">
            <v>10.1016/j.jbusres.2020.09.005</v>
          </cell>
        </row>
        <row r="50">
          <cell r="M50" t="str">
            <v>10.1016/j.eist.2019.09.002</v>
          </cell>
        </row>
        <row r="51">
          <cell r="M51" t="str">
            <v>10.1139/facets-2021-0018</v>
          </cell>
        </row>
        <row r="52">
          <cell r="M52" t="str">
            <v>10.1016/j.jenvp.2020.101460</v>
          </cell>
        </row>
        <row r="53">
          <cell r="M53" t="str">
            <v>10.1002/ieam.4661</v>
          </cell>
        </row>
        <row r="54">
          <cell r="M54" t="str">
            <v>10.3389/fmars.2021.709947</v>
          </cell>
        </row>
        <row r="55">
          <cell r="M55"/>
        </row>
        <row r="56">
          <cell r="M56" t="str">
            <v>10.1145/3531146.3534637</v>
          </cell>
        </row>
        <row r="57">
          <cell r="M57" t="str">
            <v>10.1093/geront/gnac023</v>
          </cell>
        </row>
        <row r="58">
          <cell r="M58" t="str">
            <v>10.1109/IROS47612.2022.9981785</v>
          </cell>
        </row>
        <row r="59">
          <cell r="M59" t="str">
            <v>10.1016/j.cities.2020.102816</v>
          </cell>
        </row>
        <row r="60">
          <cell r="M60" t="str">
            <v>10.1017/sus.2023.25</v>
          </cell>
        </row>
        <row r="61">
          <cell r="M61" t="str">
            <v>10.1136/bmjgh-2021-006794</v>
          </cell>
        </row>
        <row r="62">
          <cell r="M62" t="str">
            <v>10.1002/ejsp.2703</v>
          </cell>
        </row>
        <row r="63">
          <cell r="M63" t="str">
            <v>10.1111/bjet.13246</v>
          </cell>
        </row>
        <row r="64">
          <cell r="M64" t="str">
            <v>10.1002/smj.3153</v>
          </cell>
        </row>
        <row r="65">
          <cell r="M65" t="str">
            <v>10.5751/ES-11509-250201</v>
          </cell>
        </row>
        <row r="66">
          <cell r="M66" t="str">
            <v>10.1016/j.erss.2021.102255</v>
          </cell>
        </row>
        <row r="67">
          <cell r="M67" t="str">
            <v>10.1136/bmjopen-2020-048353</v>
          </cell>
        </row>
        <row r="68">
          <cell r="M68" t="str">
            <v>10.1177/1362361320910963</v>
          </cell>
        </row>
        <row r="69">
          <cell r="M69" t="str">
            <v>10.1098/rstb.2022.0196</v>
          </cell>
        </row>
        <row r="70">
          <cell r="M70" t="str">
            <v>10.2196/44357</v>
          </cell>
        </row>
        <row r="71">
          <cell r="M71" t="str">
            <v>10.1111/1468-2427.12993</v>
          </cell>
        </row>
        <row r="72">
          <cell r="M72" t="str">
            <v>10.4324/9780429286322</v>
          </cell>
        </row>
        <row r="73">
          <cell r="M73" t="str">
            <v>10.1016/j.polgeo.2023.102904</v>
          </cell>
        </row>
        <row r="74">
          <cell r="M74" t="str">
            <v>10.1016/j.drugpo.2022.103584</v>
          </cell>
        </row>
        <row r="75">
          <cell r="M75" t="str">
            <v>10.1017/S0144686X21000234</v>
          </cell>
        </row>
        <row r="76">
          <cell r="M76" t="str">
            <v>10.1016/j.ocecoaman.2022.106097</v>
          </cell>
        </row>
        <row r="77">
          <cell r="M77" t="str">
            <v>10.1007/s10433-020-00599-y</v>
          </cell>
        </row>
        <row r="78">
          <cell r="M78" t="str">
            <v>10.17269/s41997-020-00452-w</v>
          </cell>
        </row>
        <row r="79">
          <cell r="M79" t="str">
            <v>10.1371/journal.pmed.1003172</v>
          </cell>
        </row>
        <row r="80">
          <cell r="M80" t="str">
            <v>10.1186/s12939-021-01399-1</v>
          </cell>
        </row>
        <row r="81">
          <cell r="M81" t="str">
            <v>10.1186/s41256-020-00147-2</v>
          </cell>
        </row>
        <row r="82">
          <cell r="M82" t="str">
            <v>10.1007/s11077-019-09368-w</v>
          </cell>
        </row>
        <row r="83">
          <cell r="M83" t="str">
            <v>10.1371/journal.pone.0233463</v>
          </cell>
        </row>
        <row r="84">
          <cell r="M84" t="str">
            <v>10.1016/j.healthplace.2022.102844</v>
          </cell>
        </row>
        <row r="85">
          <cell r="M85" t="str">
            <v>10.1002/ajhb.23342</v>
          </cell>
        </row>
        <row r="86">
          <cell r="M86" t="str">
            <v>10.1016/j.tree.2024.02.004</v>
          </cell>
        </row>
        <row r="87">
          <cell r="M87" t="str">
            <v>10.1016/j.aap.2020.105540</v>
          </cell>
        </row>
        <row r="88">
          <cell r="M88" t="str">
            <v>10.1016/j.envsci.2024.103710</v>
          </cell>
        </row>
        <row r="89">
          <cell r="M89" t="str">
            <v>10.1111/joms.12863</v>
          </cell>
        </row>
        <row r="90">
          <cell r="M90" t="str">
            <v>10.1126/sciadv.abn0929</v>
          </cell>
        </row>
        <row r="91">
          <cell r="M91" t="str">
            <v>10.1126/science.adn1477</v>
          </cell>
        </row>
        <row r="92">
          <cell r="M92" t="str">
            <v>10.3389/fmed.2024.1495582</v>
          </cell>
        </row>
        <row r="93">
          <cell r="M93" t="str">
            <v>10.1371/journal.pone.0225783</v>
          </cell>
        </row>
        <row r="94">
          <cell r="M94" t="str">
            <v>10.1177/00139165211065008</v>
          </cell>
        </row>
        <row r="95">
          <cell r="M95" t="str">
            <v>10.1080/17524032.2021.1981419</v>
          </cell>
        </row>
        <row r="96">
          <cell r="M96" t="str">
            <v>10.1016/j.cities.2020.103017</v>
          </cell>
        </row>
        <row r="97">
          <cell r="M97" t="str">
            <v>10.2105/AJPH.2020.305768</v>
          </cell>
        </row>
        <row r="98">
          <cell r="M98" t="str">
            <v>10.1080/09687599.2019.1649127</v>
          </cell>
        </row>
        <row r="99">
          <cell r="M99" t="str">
            <v>10.1080/03601277.2021.1927484</v>
          </cell>
        </row>
        <row r="100">
          <cell r="M100" t="str">
            <v>10.1080/02673037.2019.1687854</v>
          </cell>
        </row>
        <row r="101">
          <cell r="M101" t="str">
            <v>10.1080/02723638.2022.2159651</v>
          </cell>
        </row>
        <row r="102">
          <cell r="M102" t="str">
            <v>10.1186/s12954-022-00629-1</v>
          </cell>
        </row>
        <row r="103">
          <cell r="M103"/>
        </row>
        <row r="104">
          <cell r="M104" t="str">
            <v>10.1371/journal.pone.0277769</v>
          </cell>
        </row>
        <row r="105">
          <cell r="M105" t="str">
            <v>10.1016/j.drugpo.2021.103518</v>
          </cell>
        </row>
        <row r="106">
          <cell r="M106" t="str">
            <v>10.1177/1471301220927230</v>
          </cell>
        </row>
        <row r="107">
          <cell r="M107" t="str">
            <v>10.9778/cmajo.20190106</v>
          </cell>
        </row>
        <row r="108">
          <cell r="M108" t="str">
            <v>10.1007/s10551-023-05517-7</v>
          </cell>
        </row>
        <row r="109">
          <cell r="M109" t="str">
            <v>10.1503/cmaj.231372</v>
          </cell>
        </row>
        <row r="110">
          <cell r="M110" t="str">
            <v>10.1080/15265161.2023.2232748</v>
          </cell>
        </row>
        <row r="111">
          <cell r="M111" t="str">
            <v>10.1177/14713012221111014</v>
          </cell>
        </row>
        <row r="112">
          <cell r="M112" t="str">
            <v>10.1002/jia2.25913</v>
          </cell>
        </row>
        <row r="113">
          <cell r="M113" t="str">
            <v>10.2196/32452</v>
          </cell>
        </row>
        <row r="114">
          <cell r="M114" t="str">
            <v>10.1016/j.envsci.2021.10.012</v>
          </cell>
        </row>
        <row r="115">
          <cell r="M115" t="str">
            <v>10.1016/j.ssmph.2021.100988</v>
          </cell>
        </row>
        <row r="116">
          <cell r="M116" t="str">
            <v>10.1177/10497323211002489</v>
          </cell>
        </row>
        <row r="117">
          <cell r="M117" t="str">
            <v>10.1080/09540121.2020.1737640</v>
          </cell>
        </row>
        <row r="118">
          <cell r="M118" t="str">
            <v>10.1136/tsaco-2020-000469</v>
          </cell>
        </row>
        <row r="119">
          <cell r="M119" t="str">
            <v>10.1176/APPI.PS.202000029</v>
          </cell>
        </row>
        <row r="120">
          <cell r="M120" t="str">
            <v>10.1007/s42438-023-00414-8</v>
          </cell>
        </row>
        <row r="121">
          <cell r="M121" t="str">
            <v>10.1093/polsoc/puad026</v>
          </cell>
        </row>
        <row r="122">
          <cell r="M122" t="str">
            <v>10.1186/s12889-021-12438-5</v>
          </cell>
        </row>
        <row r="123">
          <cell r="M123" t="str">
            <v>10.1016/j.cub.2022.07.067</v>
          </cell>
        </row>
        <row r="124">
          <cell r="M124" t="str">
            <v>10.1016/j.polgeo.2022.102670</v>
          </cell>
        </row>
        <row r="125">
          <cell r="M125" t="str">
            <v>10.1086/720154</v>
          </cell>
        </row>
        <row r="126">
          <cell r="M126" t="str">
            <v>10.1080/19361653.2020.1758275</v>
          </cell>
        </row>
        <row r="127">
          <cell r="M127" t="str">
            <v>10.3390/ijerph18199999</v>
          </cell>
        </row>
        <row r="128">
          <cell r="M128" t="str">
            <v>10.1186/s12954-020-00454-4</v>
          </cell>
        </row>
        <row r="129">
          <cell r="M129" t="str">
            <v>10.1111/1467-8500.12630</v>
          </cell>
        </row>
        <row r="130">
          <cell r="M130" t="str">
            <v>10.1093/geront/gnac004</v>
          </cell>
        </row>
        <row r="131">
          <cell r="M131" t="str">
            <v>10.1002/epa2.1142</v>
          </cell>
        </row>
        <row r="132">
          <cell r="M132" t="str">
            <v>10.1016/j.jcrimjus.2022.101881</v>
          </cell>
        </row>
        <row r="133">
          <cell r="M133" t="str">
            <v>10.1002/pan3.10090</v>
          </cell>
        </row>
        <row r="134">
          <cell r="M134" t="str">
            <v>10.1017/dap.2021.33</v>
          </cell>
        </row>
        <row r="135">
          <cell r="M135" t="str">
            <v>10.1111/ropr.12448</v>
          </cell>
        </row>
        <row r="136">
          <cell r="M136" t="str">
            <v>10.1016/j.jtrangeo.2021.103122</v>
          </cell>
        </row>
        <row r="137">
          <cell r="M137" t="str">
            <v>10.1007/978-3-030-64171-9</v>
          </cell>
        </row>
        <row r="138">
          <cell r="M138" t="str">
            <v>10.1080/26395916.2021.1995046</v>
          </cell>
        </row>
        <row r="139">
          <cell r="M139" t="str">
            <v>10.5210/FM.V25I9.10801</v>
          </cell>
        </row>
        <row r="140">
          <cell r="M140" t="str">
            <v>10.1017/S0008423920000207</v>
          </cell>
        </row>
        <row r="141">
          <cell r="M141" t="str">
            <v>10.1080/25741292.2024.2353929</v>
          </cell>
        </row>
        <row r="142">
          <cell r="M142" t="str">
            <v>10.1080/17516234.2022.2030276</v>
          </cell>
        </row>
        <row r="143">
          <cell r="M143" t="str">
            <v>10.1126/SCIENCE.ADG9830</v>
          </cell>
        </row>
        <row r="144">
          <cell r="M144" t="str">
            <v>10.1007/s11160-022-09721-y</v>
          </cell>
        </row>
        <row r="145">
          <cell r="M145" t="str">
            <v>10.1093/isr/viac047</v>
          </cell>
        </row>
        <row r="146">
          <cell r="M146" t="str">
            <v>10.1186/s12992-022-00802-y</v>
          </cell>
        </row>
        <row r="147">
          <cell r="M147" t="str">
            <v>10.3390/fi14060161</v>
          </cell>
        </row>
        <row r="148">
          <cell r="M148" t="str">
            <v>10.1093/geront/gnab115</v>
          </cell>
        </row>
        <row r="149">
          <cell r="M149" t="str">
            <v>10.1136/bmjopen-2020-047597</v>
          </cell>
        </row>
        <row r="150">
          <cell r="M150" t="str">
            <v>10.1139/facets-2020-0080</v>
          </cell>
        </row>
        <row r="151">
          <cell r="M151" t="str">
            <v>10.1111/add.15182</v>
          </cell>
        </row>
        <row r="152">
          <cell r="M152" t="str">
            <v>10.1080/13876988.2021.1894074</v>
          </cell>
        </row>
        <row r="153">
          <cell r="M153" t="str">
            <v>10.1007/s10488-020-01008-3</v>
          </cell>
        </row>
        <row r="154">
          <cell r="M154" t="str">
            <v>10.1080/07352166.2020.1773837</v>
          </cell>
        </row>
        <row r="155">
          <cell r="M155" t="str">
            <v>10.1017/epi.2022.14</v>
          </cell>
        </row>
        <row r="156">
          <cell r="M156" t="str">
            <v>10.1016/j.envsci.2023.02.023</v>
          </cell>
        </row>
        <row r="157">
          <cell r="M157" t="str">
            <v>10.1002/smj.3471</v>
          </cell>
        </row>
        <row r="158">
          <cell r="M158" t="str">
            <v>10.1007/s10903-022-01422-9</v>
          </cell>
        </row>
        <row r="159">
          <cell r="M159" t="str">
            <v>10.3390/su15054250</v>
          </cell>
        </row>
        <row r="160">
          <cell r="M160" t="str">
            <v>10.1186/s40900-022-00350-0</v>
          </cell>
        </row>
        <row r="161">
          <cell r="M161" t="str">
            <v>10.1186/s12877-022-02769-2</v>
          </cell>
        </row>
        <row r="162">
          <cell r="M162" t="str">
            <v>10.1177/1362361321989221</v>
          </cell>
        </row>
        <row r="163">
          <cell r="M163" t="str">
            <v>10.1002/pan3.10211</v>
          </cell>
        </row>
        <row r="164">
          <cell r="M164" t="str">
            <v>10.1111/nana.12570</v>
          </cell>
        </row>
        <row r="165">
          <cell r="M165" t="str">
            <v>10.1108/ILS-08-2019-0086</v>
          </cell>
        </row>
        <row r="166">
          <cell r="M166" t="str">
            <v>10.1016/j.habitatint.2023.102812</v>
          </cell>
        </row>
        <row r="167">
          <cell r="M167" t="str">
            <v>10.1038/s41598-022-22630-1</v>
          </cell>
        </row>
        <row r="168">
          <cell r="M168" t="str">
            <v>10.1186/s12889-021-12434-9</v>
          </cell>
        </row>
        <row r="169">
          <cell r="M169" t="str">
            <v>10.1111/1365-2664.14239</v>
          </cell>
        </row>
        <row r="170">
          <cell r="M170" t="str">
            <v>10.1080/26892618.2021.1955806</v>
          </cell>
        </row>
        <row r="171">
          <cell r="M171" t="str">
            <v>10.1016/j.enpol.2021.112532</v>
          </cell>
        </row>
        <row r="172">
          <cell r="M172" t="str">
            <v>10.1017/9781107323728</v>
          </cell>
        </row>
        <row r="173">
          <cell r="M173" t="str">
            <v>10.3390/philosophies6010014</v>
          </cell>
        </row>
        <row r="174">
          <cell r="M174" t="str">
            <v>10.3390/su12177016</v>
          </cell>
        </row>
        <row r="175">
          <cell r="M175" t="str">
            <v>10.1093/BJC/AZAA029</v>
          </cell>
        </row>
        <row r="176">
          <cell r="M176" t="str">
            <v>10.1093/geront/gnad088</v>
          </cell>
        </row>
        <row r="177">
          <cell r="M177" t="str">
            <v>10.1007/s11292-021-09495-6</v>
          </cell>
        </row>
        <row r="178">
          <cell r="M178" t="str">
            <v>10.1080/00343404.2022.2047916</v>
          </cell>
        </row>
        <row r="179">
          <cell r="M179" t="str">
            <v>10.1017/S0008423922000026</v>
          </cell>
        </row>
        <row r="180">
          <cell r="M180" t="str">
            <v>10.25318/82-003-x202201000001-eng</v>
          </cell>
        </row>
        <row r="181">
          <cell r="M181" t="str">
            <v>10.1093/isr/viab004</v>
          </cell>
        </row>
        <row r="182">
          <cell r="M182" t="str">
            <v>10.1016/j.resourpol.2020.101869</v>
          </cell>
        </row>
        <row r="183">
          <cell r="M183" t="str">
            <v>10.1080/09640568.2019.1688650</v>
          </cell>
        </row>
        <row r="184">
          <cell r="M184" t="str">
            <v>10.1017/cls.2020.2</v>
          </cell>
        </row>
        <row r="185">
          <cell r="M185" t="str">
            <v>10.15171/ijhpm.2019.102</v>
          </cell>
        </row>
        <row r="186">
          <cell r="M186" t="str">
            <v>10.1177/1077801219832325</v>
          </cell>
        </row>
        <row r="187">
          <cell r="M187" t="str">
            <v>10.1186/s12954-022-00701-w</v>
          </cell>
        </row>
        <row r="188">
          <cell r="M188" t="str">
            <v>10.1186/s12939-022-01679-4</v>
          </cell>
        </row>
        <row r="189">
          <cell r="M189" t="str">
            <v>10.1177/0042098020938252</v>
          </cell>
        </row>
        <row r="190">
          <cell r="M190" t="str">
            <v>10.37016/mr-2020-82</v>
          </cell>
        </row>
        <row r="191">
          <cell r="M191" t="str">
            <v>10.1080/10282580.2021.1881893</v>
          </cell>
        </row>
        <row r="192">
          <cell r="M192" t="str">
            <v>10.1111/1365-2435.13621</v>
          </cell>
        </row>
        <row r="193">
          <cell r="M193" t="str">
            <v>10.1017/S0021911820002314</v>
          </cell>
        </row>
        <row r="194">
          <cell r="M194" t="str">
            <v>10.1177/0261018319857169</v>
          </cell>
        </row>
        <row r="195">
          <cell r="M195" t="str">
            <v>10.1177/0263775819860850</v>
          </cell>
        </row>
        <row r="196">
          <cell r="M196" t="str">
            <v>10.1007/978-981-99-2760-9</v>
          </cell>
        </row>
        <row r="197">
          <cell r="M197" t="str">
            <v>10.2105/AJPH.2021.306695</v>
          </cell>
        </row>
        <row r="198">
          <cell r="M198" t="str">
            <v>10.1136/bmjopen-2021-057072</v>
          </cell>
        </row>
        <row r="199">
          <cell r="M199" t="str">
            <v>10.1016/j.resourpol.2021.102155</v>
          </cell>
        </row>
        <row r="200">
          <cell r="M200" t="str">
            <v>10.1016/j.resourpol.2021.102138</v>
          </cell>
        </row>
        <row r="201">
          <cell r="M201" t="str">
            <v>10.2105/AJPH.2020.306121</v>
          </cell>
        </row>
        <row r="202">
          <cell r="M202" t="str">
            <v>10.1177/0706743720902616</v>
          </cell>
        </row>
        <row r="203">
          <cell r="M203" t="str">
            <v>10.1016/j.wsif.2023.102781</v>
          </cell>
        </row>
        <row r="204">
          <cell r="M204" t="str">
            <v>10.1093/polsoc/puad001</v>
          </cell>
        </row>
        <row r="205">
          <cell r="M205"/>
        </row>
        <row r="206">
          <cell r="M206" t="str">
            <v>10.1111/hsc.13871</v>
          </cell>
        </row>
        <row r="207">
          <cell r="M207" t="str">
            <v>10.3390/su141811600</v>
          </cell>
        </row>
        <row r="208">
          <cell r="M208" t="str">
            <v>10.1007/s11615-022-00395-6</v>
          </cell>
        </row>
        <row r="209">
          <cell r="M209" t="str">
            <v>10.1080/14680777.2021.1922487</v>
          </cell>
        </row>
        <row r="210">
          <cell r="M210" t="str">
            <v>10.1016/j.resourpol.2020.101970</v>
          </cell>
        </row>
        <row r="211">
          <cell r="M211" t="str">
            <v>10.1007/s10461-019-02463-2</v>
          </cell>
        </row>
        <row r="212">
          <cell r="M212" t="str">
            <v>10.1177/10755470231162634</v>
          </cell>
        </row>
        <row r="213">
          <cell r="M213" t="str">
            <v>10.1177/1470594X231158657</v>
          </cell>
        </row>
        <row r="214">
          <cell r="M214" t="str">
            <v>10.1108/JAAR-04-2022-0086</v>
          </cell>
        </row>
        <row r="215">
          <cell r="M215" t="str">
            <v>10.1177/00207314221134040</v>
          </cell>
        </row>
        <row r="216">
          <cell r="M216" t="str">
            <v>10.1089/can.2021.0080</v>
          </cell>
        </row>
        <row r="217">
          <cell r="M217" t="str">
            <v>10.1002/bse.3060</v>
          </cell>
        </row>
        <row r="218">
          <cell r="M218" t="str">
            <v>10.1007/s00521-022-07296-0</v>
          </cell>
        </row>
        <row r="219">
          <cell r="M219" t="str">
            <v>10.3389/fnut.2022.928837</v>
          </cell>
        </row>
        <row r="220">
          <cell r="M220" t="str">
            <v>10.1080/1523908X.2021.2015684</v>
          </cell>
        </row>
        <row r="221">
          <cell r="M221" t="str">
            <v>10.1186/s12954-021-00537-w</v>
          </cell>
        </row>
        <row r="222">
          <cell r="M222" t="str">
            <v>10.1177/0042098020949080</v>
          </cell>
        </row>
        <row r="223">
          <cell r="M223" t="str">
            <v>10.1016/j.resourpol.2020.101969</v>
          </cell>
        </row>
        <row r="224">
          <cell r="M224" t="str">
            <v>10.17645/pag.v9i2.4170</v>
          </cell>
        </row>
        <row r="225">
          <cell r="M225" t="str">
            <v>10.1080/17441692.2019.1708961</v>
          </cell>
        </row>
        <row r="226">
          <cell r="M226" t="str">
            <v>10.1017/S0714980819000588</v>
          </cell>
        </row>
        <row r="227">
          <cell r="M227" t="str">
            <v>10.1080/13563467.2019.1574293</v>
          </cell>
        </row>
        <row r="228">
          <cell r="M228" t="str">
            <v>10.1080/15562948.2019.1570579</v>
          </cell>
        </row>
        <row r="229">
          <cell r="M229" t="str">
            <v>10.1099/mgen.0.000450</v>
          </cell>
        </row>
        <row r="230">
          <cell r="M230" t="str">
            <v>10.1111/joms.12818</v>
          </cell>
        </row>
        <row r="231">
          <cell r="M231" t="str">
            <v>10.1017/gov.2022.26</v>
          </cell>
        </row>
        <row r="232">
          <cell r="M232" t="str">
            <v>10.1080/01634372.2022.2087128</v>
          </cell>
        </row>
        <row r="233">
          <cell r="M233" t="str">
            <v>10.2196/37007</v>
          </cell>
        </row>
        <row r="234">
          <cell r="M234" t="str">
            <v>10.3390/ijerph19063695</v>
          </cell>
        </row>
        <row r="235">
          <cell r="M235" t="str">
            <v>10.1016/j.chest.2021.10.028</v>
          </cell>
        </row>
        <row r="236">
          <cell r="M236" t="str">
            <v>10.11591/eei.v10i3.3028</v>
          </cell>
        </row>
        <row r="237">
          <cell r="M237" t="str">
            <v>10.1111/emre.12443</v>
          </cell>
        </row>
        <row r="238">
          <cell r="M238" t="str">
            <v>10.25318/82-003-x202100500002-eng</v>
          </cell>
        </row>
        <row r="239">
          <cell r="M239" t="str">
            <v>10.1016/j.forpol.2020.102119</v>
          </cell>
        </row>
        <row r="240">
          <cell r="M240" t="str">
            <v>10.1007/978-3-030-60239-0_16</v>
          </cell>
        </row>
        <row r="241">
          <cell r="M241" t="str">
            <v>10.1186/s12954-024-00996-x</v>
          </cell>
        </row>
        <row r="242">
          <cell r="M242" t="str">
            <v>10.1108/JBIM-10-2022-0469</v>
          </cell>
        </row>
        <row r="243">
          <cell r="M243" t="str">
            <v>10.3389/frai.2024.1426761</v>
          </cell>
        </row>
        <row r="244">
          <cell r="M244" t="str">
            <v>10.1080/21650020.2023.2296891</v>
          </cell>
        </row>
        <row r="245">
          <cell r="M245" t="str">
            <v>10.1186/s12954-023-00833-7</v>
          </cell>
        </row>
        <row r="246">
          <cell r="M246" t="str">
            <v>10.1371/journal.pclm.0000307</v>
          </cell>
        </row>
        <row r="247">
          <cell r="M247" t="str">
            <v>10.1016/j.jcae.2023.100363</v>
          </cell>
        </row>
        <row r="248">
          <cell r="M248" t="str">
            <v>10.1111/1467-8500.12564</v>
          </cell>
        </row>
        <row r="249">
          <cell r="M249" t="str">
            <v>10.2196/43548</v>
          </cell>
        </row>
        <row r="250">
          <cell r="M250" t="str">
            <v>10.1080/10584609.2022.2137743</v>
          </cell>
        </row>
        <row r="251">
          <cell r="M251" t="str">
            <v>10.3390/ijerph192214857</v>
          </cell>
        </row>
        <row r="252">
          <cell r="M252" t="str">
            <v>10.1287/isre.2022.1100</v>
          </cell>
        </row>
        <row r="253">
          <cell r="M253" t="str">
            <v>10.3390/su14138132</v>
          </cell>
        </row>
        <row r="254">
          <cell r="M254" t="str">
            <v>10.1353/seo.2022.0002</v>
          </cell>
        </row>
        <row r="255">
          <cell r="M255" t="str">
            <v>10.1057/s41311-021-00309-0</v>
          </cell>
        </row>
        <row r="256">
          <cell r="M256" t="str">
            <v>10.1016/j.jue.2021.103405</v>
          </cell>
        </row>
        <row r="257">
          <cell r="M257" t="str">
            <v>10.1139/FACETS-2021-0133</v>
          </cell>
        </row>
        <row r="258">
          <cell r="M258" t="str">
            <v>10.3390/ijerph19010005</v>
          </cell>
        </row>
        <row r="259">
          <cell r="M259" t="str">
            <v>10.1080/03003930.2020.1857246</v>
          </cell>
        </row>
        <row r="260">
          <cell r="M260" t="str">
            <v>10.1080/0735648X.2020.1856706</v>
          </cell>
        </row>
        <row r="261">
          <cell r="M261" t="str">
            <v>10.1177/0886260518789142</v>
          </cell>
        </row>
        <row r="262">
          <cell r="M262" t="str">
            <v>10.1016/j.addbeh.2020.106793</v>
          </cell>
        </row>
        <row r="263">
          <cell r="M263" t="str">
            <v>10.1136/bmjopen-2020-045862</v>
          </cell>
        </row>
        <row r="264">
          <cell r="M264" t="str">
            <v>10.1146/annurev-lawsocsci-021020-105357</v>
          </cell>
        </row>
        <row r="265">
          <cell r="M265" t="str">
            <v>10.37016/mr-2020-40</v>
          </cell>
        </row>
        <row r="266">
          <cell r="M266" t="str">
            <v>10.5840/techne2020210116</v>
          </cell>
        </row>
        <row r="267">
          <cell r="M267" t="str">
            <v>10.1111/corg.12480</v>
          </cell>
        </row>
        <row r="268">
          <cell r="M268" t="str">
            <v>10.1177/14687984221124179</v>
          </cell>
        </row>
        <row r="269">
          <cell r="M269" t="str">
            <v>10.1007/s43621-022-00081-y</v>
          </cell>
        </row>
        <row r="270">
          <cell r="M270" t="str">
            <v>10.1093/isq/sqac048</v>
          </cell>
        </row>
        <row r="271">
          <cell r="M271" t="str">
            <v>10.1111/lcrp.12211</v>
          </cell>
        </row>
        <row r="272">
          <cell r="M272" t="str">
            <v>10.4324/9781003163954</v>
          </cell>
        </row>
        <row r="273">
          <cell r="M273" t="str">
            <v>10.1016/j.drugalcdep.2022.109441</v>
          </cell>
        </row>
        <row r="274">
          <cell r="M274" t="str">
            <v>10.1080/23748834.2021.1926657</v>
          </cell>
        </row>
        <row r="275">
          <cell r="M275" t="str">
            <v>10.1186/s12888-021-03142-0</v>
          </cell>
        </row>
        <row r="276">
          <cell r="M276" t="str">
            <v>10.1515/opis-2020-0118</v>
          </cell>
        </row>
        <row r="277">
          <cell r="M277" t="str">
            <v>10.1007/s40615-023-01598-2</v>
          </cell>
        </row>
        <row r="278">
          <cell r="M278" t="str">
            <v>10.1093/geront/gnad151</v>
          </cell>
        </row>
        <row r="279">
          <cell r="M279" t="str">
            <v>10.1016/j.jclepro.2024.141264</v>
          </cell>
        </row>
        <row r="280">
          <cell r="M280" t="str">
            <v>10.1016/j.tree.2024.01.001</v>
          </cell>
        </row>
        <row r="281">
          <cell r="M281" t="str">
            <v>10.1186/s12966-023-01533-y</v>
          </cell>
        </row>
        <row r="282">
          <cell r="M282" t="str">
            <v>10.1186/s12954-023-00852-4</v>
          </cell>
        </row>
        <row r="283">
          <cell r="M283" t="str">
            <v>10.1186/s12889-023-15955-7</v>
          </cell>
        </row>
        <row r="284">
          <cell r="M284" t="str">
            <v>10.1007/s42330-023-00276-z</v>
          </cell>
        </row>
        <row r="285">
          <cell r="M285" t="str">
            <v>10.1177/14651165221123155</v>
          </cell>
        </row>
        <row r="286">
          <cell r="M286" t="str">
            <v>10.1177/07067437221136468</v>
          </cell>
        </row>
        <row r="287">
          <cell r="M287" t="str">
            <v>10.1371/journal.pgph.0001131</v>
          </cell>
        </row>
        <row r="288">
          <cell r="M288" t="str">
            <v>10.1108/978-1-80262-985-920221004</v>
          </cell>
        </row>
        <row r="289">
          <cell r="M289" t="str">
            <v>10.4337/9781839106606.00030</v>
          </cell>
        </row>
        <row r="290">
          <cell r="M290" t="str">
            <v>10.3390/ijerph182212152</v>
          </cell>
        </row>
        <row r="291">
          <cell r="M291" t="str">
            <v>10.1071/SH21116</v>
          </cell>
        </row>
        <row r="292">
          <cell r="M292" t="str">
            <v>10.1177/1363459320912808</v>
          </cell>
        </row>
        <row r="293">
          <cell r="M293" t="str">
            <v>10.3390/jrfm14080375</v>
          </cell>
        </row>
        <row r="294">
          <cell r="M294" t="str">
            <v>10.1002/berj.3730</v>
          </cell>
        </row>
        <row r="295">
          <cell r="M295" t="str">
            <v>10.1080/07900627.2019.1662379</v>
          </cell>
        </row>
        <row r="296">
          <cell r="M296" t="str">
            <v>10.1016/j.drugpo.2020.102967</v>
          </cell>
        </row>
        <row r="297">
          <cell r="M297" t="str">
            <v>10.1080/08111146.2020.1768841</v>
          </cell>
        </row>
        <row r="298">
          <cell r="M298" t="str">
            <v>10.1186/s12913-024-11549-0</v>
          </cell>
        </row>
        <row r="299">
          <cell r="M299" t="str">
            <v>10.1186/s13002-024-00693-w</v>
          </cell>
        </row>
        <row r="300">
          <cell r="M300" t="str">
            <v>10.1016/j.socscimed.2024.117274</v>
          </cell>
        </row>
        <row r="301">
          <cell r="M301" t="str">
            <v>10.1111/1467-8500.12595</v>
          </cell>
        </row>
        <row r="302">
          <cell r="M302" t="str">
            <v>10.1016/j.oneear.2024.02.009</v>
          </cell>
        </row>
        <row r="303">
          <cell r="M303" t="str">
            <v>10.1109/LGRS.2024.3354560</v>
          </cell>
        </row>
        <row r="304">
          <cell r="M304" t="str">
            <v>10.1016/j.drugpo.2023.104117</v>
          </cell>
        </row>
        <row r="305">
          <cell r="M305" t="str">
            <v>10.4324/9781003343431</v>
          </cell>
        </row>
        <row r="306">
          <cell r="M306" t="str">
            <v>10.2196/49416</v>
          </cell>
        </row>
        <row r="307">
          <cell r="M307" t="str">
            <v>10.1007/978-3-031-25689-9</v>
          </cell>
        </row>
        <row r="308">
          <cell r="M308" t="str">
            <v>10.1177/16094069231157350</v>
          </cell>
        </row>
        <row r="309">
          <cell r="M309" t="str">
            <v>10.1007/s11524-022-00680-0</v>
          </cell>
        </row>
        <row r="310">
          <cell r="M310" t="str">
            <v>10.3389/fpos.2022.834223</v>
          </cell>
        </row>
        <row r="311">
          <cell r="M311" t="str">
            <v>10.1177/07067437211000665</v>
          </cell>
        </row>
        <row r="312">
          <cell r="M312" t="str">
            <v>10.1504/IJIMA.2022.123164</v>
          </cell>
        </row>
        <row r="313">
          <cell r="M313" t="str">
            <v>10.1093/cjres/rsab008</v>
          </cell>
        </row>
        <row r="314">
          <cell r="M314" t="str">
            <v>10.1016/j.geoforum.2021.01.019</v>
          </cell>
        </row>
        <row r="315">
          <cell r="M315"/>
        </row>
        <row r="316">
          <cell r="M316" t="str">
            <v>10.1097/ADM.0000000000000646</v>
          </cell>
        </row>
        <row r="317">
          <cell r="M317" t="str">
            <v>10.1002/9781119166900</v>
          </cell>
        </row>
        <row r="318">
          <cell r="M318" t="str">
            <v>10.5751/es-15122-290304</v>
          </cell>
        </row>
        <row r="319">
          <cell r="M319" t="str">
            <v>10.1111/jbfa.12761</v>
          </cell>
        </row>
        <row r="320">
          <cell r="M320" t="str">
            <v>10.1007/s00146-022-01616-7</v>
          </cell>
        </row>
        <row r="321">
          <cell r="M321" t="str">
            <v>10.1016/j.jclepro.2023.140509</v>
          </cell>
        </row>
        <row r="322">
          <cell r="M322" t="str">
            <v>10.1186/s12888-023-04945-z</v>
          </cell>
        </row>
        <row r="323">
          <cell r="M323" t="str">
            <v>10.1186/s12889-023-15929-9</v>
          </cell>
        </row>
        <row r="324">
          <cell r="M324" t="str">
            <v>10.1177/87569728231173298</v>
          </cell>
        </row>
        <row r="325">
          <cell r="M325" t="str">
            <v>10.3389/fmars.2023.1045887</v>
          </cell>
        </row>
        <row r="326">
          <cell r="M326" t="str">
            <v>10.1080/19317611.2023.2201841</v>
          </cell>
        </row>
        <row r="327">
          <cell r="M327" t="str">
            <v>10.1177/16094069221148415</v>
          </cell>
        </row>
        <row r="328">
          <cell r="M328" t="str">
            <v>10.1080/15568318.2022.2121670</v>
          </cell>
        </row>
        <row r="329">
          <cell r="M329" t="str">
            <v>10.1186/s12889-022-13539-5</v>
          </cell>
        </row>
        <row r="330">
          <cell r="M330" t="str">
            <v>10.1136/bmjopen-2022-061729</v>
          </cell>
        </row>
        <row r="331">
          <cell r="M331" t="str">
            <v>10.1111/boer.12328</v>
          </cell>
        </row>
        <row r="332">
          <cell r="M332" t="str">
            <v>10.1177/14713012221084173</v>
          </cell>
        </row>
        <row r="333">
          <cell r="M333" t="str">
            <v>10.3389/feart.2022.909078</v>
          </cell>
        </row>
        <row r="334">
          <cell r="M334" t="str">
            <v>10.1007/s11191-021-00253-8</v>
          </cell>
        </row>
        <row r="335">
          <cell r="M335" t="str">
            <v>10.1136/bmjgh-2021-008149</v>
          </cell>
        </row>
        <row r="336">
          <cell r="M336" t="str">
            <v>10.1093/isq/sqab093</v>
          </cell>
        </row>
        <row r="337">
          <cell r="M337" t="str">
            <v>10.1016/j.bir.2021.05.004</v>
          </cell>
        </row>
        <row r="338">
          <cell r="M338"/>
        </row>
        <row r="339">
          <cell r="M339" t="str">
            <v>10.1111/1468-2427.13031</v>
          </cell>
        </row>
        <row r="340">
          <cell r="M340" t="str">
            <v>10.1177/0886260519846858</v>
          </cell>
        </row>
        <row r="341">
          <cell r="M341" t="str">
            <v>10.3390/v13050926</v>
          </cell>
        </row>
        <row r="342">
          <cell r="M342" t="str">
            <v>10.1080/20551940.2020.1863121</v>
          </cell>
        </row>
        <row r="343">
          <cell r="M343" t="str">
            <v>10.1080/16549716.2020.1802097</v>
          </cell>
        </row>
        <row r="344">
          <cell r="M344" t="str">
            <v>10.1136/bmjsrh-2019-200408</v>
          </cell>
        </row>
        <row r="345">
          <cell r="M345" t="str">
            <v>10.1080/09640568.2019.1702512</v>
          </cell>
        </row>
        <row r="346">
          <cell r="M346" t="str">
            <v>10.7577/njcie.3626</v>
          </cell>
        </row>
        <row r="347">
          <cell r="M347" t="str">
            <v>10.17645/pag.v8i1.2530</v>
          </cell>
        </row>
        <row r="348">
          <cell r="M348" t="str">
            <v>10.1007/s13178-023-00900-5</v>
          </cell>
        </row>
        <row r="349">
          <cell r="M349" t="str">
            <v>10.1093/fsr/owad048</v>
          </cell>
        </row>
        <row r="350">
          <cell r="M350" t="str">
            <v>10.1037/sah0000538</v>
          </cell>
        </row>
        <row r="351">
          <cell r="M351" t="str">
            <v>10.1016/j.ijlp.2023.101908</v>
          </cell>
        </row>
        <row r="352">
          <cell r="M352" t="str">
            <v>10.1108/IJSSP-09-2021-0245</v>
          </cell>
        </row>
        <row r="353">
          <cell r="M353" t="str">
            <v>10.1177/20539517231164118</v>
          </cell>
        </row>
        <row r="354">
          <cell r="M354" t="str">
            <v>10.3389/fgene.2021.716541</v>
          </cell>
        </row>
        <row r="355">
          <cell r="M355" t="str">
            <v>10.1371/journal.pone.0265811</v>
          </cell>
        </row>
        <row r="356">
          <cell r="M356" t="str">
            <v>10.1007/978-3-031-07877-4_2</v>
          </cell>
        </row>
        <row r="357">
          <cell r="M357" t="str">
            <v>10.1111/cag.12797</v>
          </cell>
        </row>
        <row r="358">
          <cell r="M358" t="str">
            <v>10.1080/09687637.2021.1872500</v>
          </cell>
        </row>
        <row r="359">
          <cell r="M359" t="str">
            <v>10.1080/07418825.2020.1856399</v>
          </cell>
        </row>
        <row r="360">
          <cell r="M360" t="str">
            <v>10.3138/cpp.2020-004</v>
          </cell>
        </row>
        <row r="361">
          <cell r="M361" t="str">
            <v>10.1007/s13178-020-00452-y</v>
          </cell>
        </row>
        <row r="362">
          <cell r="M362" t="str">
            <v>10.1016/j.jcyt.2020.09.002</v>
          </cell>
        </row>
        <row r="363">
          <cell r="M363" t="str">
            <v>10.1016/j.lanwpc.2020.100080</v>
          </cell>
        </row>
        <row r="364">
          <cell r="M364" t="str">
            <v>10.3390/ijerph17249283</v>
          </cell>
        </row>
        <row r="365">
          <cell r="M365" t="str">
            <v>10.1080/26892618.2020.1734138</v>
          </cell>
        </row>
        <row r="366">
          <cell r="M366"/>
        </row>
        <row r="367">
          <cell r="M367" t="str">
            <v>10.3389/fnbeh.2020.00097</v>
          </cell>
        </row>
        <row r="368">
          <cell r="M368" t="str">
            <v>10.1139/cjfas-2023-0039</v>
          </cell>
        </row>
        <row r="369">
          <cell r="M369" t="str">
            <v>10.1186/s12889-023-17416-7</v>
          </cell>
        </row>
        <row r="370">
          <cell r="M370" t="str">
            <v>10.1111/capa.12543</v>
          </cell>
        </row>
        <row r="371">
          <cell r="M371" t="str">
            <v>10.1016/j.pnpbp.2023.110795</v>
          </cell>
        </row>
        <row r="372">
          <cell r="M372" t="str">
            <v>10.1177/00207314221134040</v>
          </cell>
        </row>
        <row r="373">
          <cell r="M373" t="str">
            <v>10.3390/socsci12030127</v>
          </cell>
        </row>
        <row r="374">
          <cell r="M374" t="str">
            <v>10.3389/feduc.2022.936724</v>
          </cell>
        </row>
        <row r="375">
          <cell r="M375" t="str">
            <v>10.4324/9781003176497</v>
          </cell>
        </row>
        <row r="376">
          <cell r="M376" t="str">
            <v>10.46292/sci21-00056</v>
          </cell>
        </row>
        <row r="377">
          <cell r="M377" t="str">
            <v>10.1177/20552076231152766</v>
          </cell>
        </row>
        <row r="378">
          <cell r="M378" t="str">
            <v>10.1097/ADM.0000000000001032</v>
          </cell>
        </row>
        <row r="379">
          <cell r="M379" t="str">
            <v>10.1080/14616742.2022.2075424</v>
          </cell>
        </row>
        <row r="380">
          <cell r="M380" t="str">
            <v>10.1080/02673037.2021.1900548</v>
          </cell>
        </row>
        <row r="381">
          <cell r="M381" t="str">
            <v>10.1097/j.pain.0000000000002619</v>
          </cell>
        </row>
        <row r="382">
          <cell r="M382" t="str">
            <v>10.1016/j.jval.2022.03.019</v>
          </cell>
        </row>
        <row r="383">
          <cell r="M383" t="str">
            <v>10.1108/IJPSM-02-2021-0050</v>
          </cell>
        </row>
        <row r="384">
          <cell r="M384" t="str">
            <v>10.1016/j.eclinm.2022.101277</v>
          </cell>
        </row>
        <row r="385">
          <cell r="M385" t="str">
            <v>10.1177/00207020221076402</v>
          </cell>
        </row>
        <row r="386">
          <cell r="M386" t="str">
            <v>10.1038/s41598-021-96186-x</v>
          </cell>
        </row>
        <row r="387">
          <cell r="M387" t="str">
            <v>10.1177/0706743721989158</v>
          </cell>
        </row>
        <row r="388">
          <cell r="M388" t="str">
            <v>10.1007/s11422-021-10037-9</v>
          </cell>
        </row>
        <row r="389">
          <cell r="M389" t="str">
            <v>10.1145/3447548.3470818</v>
          </cell>
        </row>
        <row r="390">
          <cell r="M390" t="str">
            <v>10.1111/tgis.12712</v>
          </cell>
        </row>
        <row r="391">
          <cell r="M391" t="str">
            <v>10.1177/1367549419839877</v>
          </cell>
        </row>
        <row r="392">
          <cell r="M392" t="str">
            <v>10.1080/02255189.2020.1797650</v>
          </cell>
        </row>
        <row r="393">
          <cell r="M393" t="str">
            <v>10.1016/j.socscimed.2020.113528</v>
          </cell>
        </row>
        <row r="394">
          <cell r="M394" t="str">
            <v>10.1111/1467-9566.13145</v>
          </cell>
        </row>
        <row r="395">
          <cell r="M395" t="str">
            <v>10.1080/14708477.2019.1674866</v>
          </cell>
        </row>
        <row r="396">
          <cell r="M396" t="str">
            <v>10.1177/1477370818794124</v>
          </cell>
        </row>
        <row r="397">
          <cell r="M397" t="str">
            <v>10.1080/02673037.2020.1789564</v>
          </cell>
        </row>
        <row r="398">
          <cell r="M398" t="str">
            <v>10.1038/s44183-024-00093-3</v>
          </cell>
        </row>
        <row r="399">
          <cell r="M399" t="str">
            <v>10.1017/S1537592724000677</v>
          </cell>
        </row>
        <row r="400">
          <cell r="M400" t="str">
            <v>10.1016/S2214-109X(24)00287-0</v>
          </cell>
        </row>
        <row r="401">
          <cell r="M401" t="str">
            <v>10.1016/j.trip.2024.101179</v>
          </cell>
        </row>
        <row r="402">
          <cell r="M402" t="str">
            <v>10.1177/07311214231193355</v>
          </cell>
        </row>
        <row r="403">
          <cell r="M403" t="str">
            <v>10.1016/j.trip.2024.101062</v>
          </cell>
        </row>
        <row r="404">
          <cell r="M404" t="str">
            <v>10.1109/TNSE.2023.3330450</v>
          </cell>
        </row>
        <row r="405">
          <cell r="M405" t="str">
            <v>10.1016/j.socscimed.2024.116589</v>
          </cell>
        </row>
        <row r="406">
          <cell r="M406" t="str">
            <v>10.1080/14036096.2024.2341840</v>
          </cell>
        </row>
        <row r="407">
          <cell r="M407" t="str">
            <v>10.1002/smj.3503</v>
          </cell>
        </row>
        <row r="408">
          <cell r="M408" t="str">
            <v>10.1093/applin/amac079</v>
          </cell>
        </row>
        <row r="409">
          <cell r="M409" t="str">
            <v>10.1136/bmjgh-2022-011211</v>
          </cell>
        </row>
        <row r="410">
          <cell r="M410" t="str">
            <v>10.1111/add.16096</v>
          </cell>
        </row>
        <row r="411">
          <cell r="M411" t="str">
            <v>10.3390/ijerph20054403</v>
          </cell>
        </row>
        <row r="412">
          <cell r="M412" t="str">
            <v>10.1177/08862605221118611</v>
          </cell>
        </row>
        <row r="413">
          <cell r="M413" t="str">
            <v>10.1371/journal.pone.0282340</v>
          </cell>
        </row>
        <row r="414">
          <cell r="M414" t="str">
            <v>10.1017/S0144686X21000477</v>
          </cell>
        </row>
        <row r="415">
          <cell r="M415" t="str">
            <v>10.1525/gp.2023.57547</v>
          </cell>
        </row>
        <row r="416">
          <cell r="M416" t="str">
            <v>10.1037/law0000401</v>
          </cell>
        </row>
        <row r="417">
          <cell r="M417" t="str">
            <v>10.4324/9781003224495-7</v>
          </cell>
        </row>
        <row r="418">
          <cell r="M418" t="str">
            <v>10.3389/fpsyg.2023.1181872</v>
          </cell>
        </row>
        <row r="419">
          <cell r="M419" t="str">
            <v>10.1002/jip.1604</v>
          </cell>
        </row>
        <row r="420">
          <cell r="M420" t="str">
            <v>10.1136/bmjopen-2022-066522</v>
          </cell>
        </row>
        <row r="421">
          <cell r="M421" t="str">
            <v>10.1016/j.ssmqr.2022.100192</v>
          </cell>
        </row>
        <row r="422">
          <cell r="M422" t="str">
            <v>10.1093/bjc/azab086</v>
          </cell>
        </row>
        <row r="423">
          <cell r="M423" t="str">
            <v>10.1016/j.drugalcdep.2022.109274</v>
          </cell>
        </row>
        <row r="424">
          <cell r="M424" t="str">
            <v>10.29173/cjnser585</v>
          </cell>
        </row>
        <row r="425">
          <cell r="M425" t="str">
            <v>10.1080/23311886.2022.2117927</v>
          </cell>
        </row>
        <row r="426">
          <cell r="M426" t="str">
            <v>10.1080/17440572.2022.2068525</v>
          </cell>
        </row>
        <row r="427">
          <cell r="M427" t="str">
            <v>10.1017/9781009086547.021</v>
          </cell>
        </row>
        <row r="428">
          <cell r="M428" t="str">
            <v>10.3389/fpsyg.2021.718818</v>
          </cell>
        </row>
        <row r="429">
          <cell r="M429" t="str">
            <v>10.1016/j.jadr.2021.100229</v>
          </cell>
        </row>
        <row r="430">
          <cell r="M430" t="str">
            <v>10.1016/j.copsyc.2021.12.001</v>
          </cell>
        </row>
        <row r="431">
          <cell r="M431" t="str">
            <v>10.4337/9781800376489.00011</v>
          </cell>
        </row>
        <row r="432">
          <cell r="M432" t="str">
            <v>10.1002/jcop.22455</v>
          </cell>
        </row>
        <row r="433">
          <cell r="M433" t="str">
            <v>10.1007/s10584-020-02777-4</v>
          </cell>
        </row>
        <row r="434">
          <cell r="M434" t="str">
            <v>10.1080/01436597.2020.1736544</v>
          </cell>
        </row>
        <row r="435">
          <cell r="M435" t="str">
            <v>10.51291/2377-7478.1648</v>
          </cell>
        </row>
        <row r="436">
          <cell r="M436" t="str">
            <v>10.4337/9781788118477.00028</v>
          </cell>
        </row>
        <row r="437">
          <cell r="M437" t="str">
            <v>10.1186/s12889-024-20597-4</v>
          </cell>
        </row>
        <row r="438">
          <cell r="M438" t="str">
            <v>10.1111/ilr.12440</v>
          </cell>
        </row>
        <row r="439">
          <cell r="M439" t="str">
            <v>10.1057/s41599-024-03804-w</v>
          </cell>
        </row>
        <row r="440">
          <cell r="M440" t="str">
            <v>10.1016/j.marpol.2024.106116</v>
          </cell>
        </row>
        <row r="441">
          <cell r="M441" t="str">
            <v>10.3389/fmars.2024.1496213</v>
          </cell>
        </row>
        <row r="442">
          <cell r="M442" t="str">
            <v>10.7441/joc.2023.04.01</v>
          </cell>
        </row>
        <row r="443">
          <cell r="M443" t="str">
            <v>10.1007/s10796-022-10359-1</v>
          </cell>
        </row>
        <row r="444">
          <cell r="M444" t="str">
            <v>10.1017/psrm.2022.46</v>
          </cell>
        </row>
        <row r="445">
          <cell r="M445" t="str">
            <v>10.3390/socsci12100549</v>
          </cell>
        </row>
        <row r="446">
          <cell r="M446" t="str">
            <v>10.1353/hrq.2023.a903336</v>
          </cell>
        </row>
        <row r="447">
          <cell r="M447" t="str">
            <v>10.4324/9781003299936</v>
          </cell>
        </row>
        <row r="448">
          <cell r="M448" t="str">
            <v>10.1136/bmjopen-2022-066418</v>
          </cell>
        </row>
        <row r="449">
          <cell r="M449" t="str">
            <v>10.3389/phrs.2023.1606110</v>
          </cell>
        </row>
        <row r="450">
          <cell r="M450" t="str">
            <v>10.17645/mac.v11i3.6838</v>
          </cell>
        </row>
        <row r="451">
          <cell r="M451" t="str">
            <v>10.1080/10510974.2023.2169730</v>
          </cell>
        </row>
        <row r="452">
          <cell r="M452" t="str">
            <v>10.1186/s12889-022-12903-9</v>
          </cell>
        </row>
        <row r="453">
          <cell r="M453" t="str">
            <v>10.1017/S0033291720004444</v>
          </cell>
        </row>
        <row r="454">
          <cell r="M454" t="str">
            <v>10.1007/s11159-022-09980-8</v>
          </cell>
        </row>
        <row r="455">
          <cell r="M455" t="str">
            <v>10.1017/S0022216X22000426</v>
          </cell>
        </row>
        <row r="456">
          <cell r="M456" t="str">
            <v>10.1002/ijop.12776</v>
          </cell>
        </row>
        <row r="457">
          <cell r="M457" t="str">
            <v>10.3390/rel13040363</v>
          </cell>
        </row>
        <row r="458">
          <cell r="M458" t="str">
            <v>10.1007/s12134-021-00827-z</v>
          </cell>
        </row>
        <row r="459">
          <cell r="M459" t="str">
            <v>10.1080/09540121.2021.1929813</v>
          </cell>
        </row>
        <row r="460">
          <cell r="M460" t="str">
            <v>10.1080/17441692.2020.1866637</v>
          </cell>
        </row>
        <row r="461">
          <cell r="M461" t="str">
            <v>10.1111/hsc.13289</v>
          </cell>
        </row>
        <row r="462">
          <cell r="M462" t="str">
            <v>10.1016/j.drugalcdep.2021.108829</v>
          </cell>
        </row>
        <row r="463">
          <cell r="M463" t="str">
            <v>10.1016/j.jce.2020.10.004</v>
          </cell>
        </row>
        <row r="464">
          <cell r="M464" t="str">
            <v>10.3138/CJCCJ.2020-0019</v>
          </cell>
        </row>
        <row r="465">
          <cell r="M465" t="str">
            <v>10.1097/MLR.0000000000001335</v>
          </cell>
        </row>
        <row r="466">
          <cell r="M466" t="str">
            <v>10.1386/eta_00050_3</v>
          </cell>
        </row>
        <row r="467">
          <cell r="M467" t="str">
            <v>10.1007/s00267-020-01384-4</v>
          </cell>
        </row>
        <row r="468">
          <cell r="M468" t="str">
            <v>10.1016/j.drugpo.2020.102912</v>
          </cell>
        </row>
        <row r="469">
          <cell r="M469" t="str">
            <v>10.1386/ejac_00008_1</v>
          </cell>
        </row>
        <row r="470">
          <cell r="M470" t="str">
            <v>10.4324/9780429330025-6</v>
          </cell>
        </row>
        <row r="471">
          <cell r="M471"/>
        </row>
        <row r="472">
          <cell r="M472" t="str">
            <v>10.1186/s12889-024-19805-y</v>
          </cell>
        </row>
        <row r="473">
          <cell r="M473" t="str">
            <v>10.1186/s41239-024-00483-0</v>
          </cell>
        </row>
        <row r="474">
          <cell r="M474" t="str">
            <v>10.1108/ARA-10-2023-0294</v>
          </cell>
        </row>
        <row r="475">
          <cell r="M475" t="str">
            <v>10.1111/jgs.19155</v>
          </cell>
        </row>
        <row r="476">
          <cell r="M476" t="str">
            <v>10.1145/3613904.3642012</v>
          </cell>
        </row>
        <row r="477">
          <cell r="M477" t="str">
            <v>10.1097/PHH.0000000000001884</v>
          </cell>
        </row>
        <row r="478">
          <cell r="M478" t="str">
            <v>10.1002/leap.1599</v>
          </cell>
        </row>
        <row r="479">
          <cell r="M479" t="str">
            <v>10.1371/journal.pone.0296920</v>
          </cell>
        </row>
        <row r="480">
          <cell r="M480" t="str">
            <v>10.17269/s41997-023-00843-9</v>
          </cell>
        </row>
        <row r="481">
          <cell r="M481" t="str">
            <v>10.1080/10630732.2024.2444238</v>
          </cell>
        </row>
        <row r="482">
          <cell r="M482" t="str">
            <v>10.3138/cjccj-2023-0024</v>
          </cell>
        </row>
        <row r="483">
          <cell r="M483" t="str">
            <v>10.1080/13854046.2024.2325167</v>
          </cell>
        </row>
        <row r="484">
          <cell r="M484" t="str">
            <v>10.1080/23748834.2024.2314382</v>
          </cell>
        </row>
        <row r="485">
          <cell r="M485" t="str">
            <v>10.1080/15614263.2023.2246620</v>
          </cell>
        </row>
        <row r="486">
          <cell r="M486" t="str">
            <v>10.1080/14635240.2022.2059543</v>
          </cell>
        </row>
        <row r="487">
          <cell r="M487" t="str">
            <v>10.1007/978-3-031-61819-2</v>
          </cell>
        </row>
        <row r="488">
          <cell r="M488" t="str">
            <v>10.1111/obr.13623</v>
          </cell>
        </row>
        <row r="489">
          <cell r="M489" t="str">
            <v>10.1024/1662-9647/a000301</v>
          </cell>
        </row>
        <row r="490">
          <cell r="M490" t="str">
            <v>10.1177/10780874221101393</v>
          </cell>
        </row>
        <row r="491">
          <cell r="M491" t="str">
            <v>10.1017/aap.2023.8</v>
          </cell>
        </row>
        <row r="492">
          <cell r="M492" t="str">
            <v>10.1002/gps.5985</v>
          </cell>
        </row>
        <row r="493">
          <cell r="M493" t="str">
            <v>10.1016/S2352-3018(23)00106-6</v>
          </cell>
        </row>
        <row r="494">
          <cell r="M494" t="str">
            <v>10.1016/j.psychres.2023.115331</v>
          </cell>
        </row>
        <row r="495">
          <cell r="M495" t="str">
            <v>10.1177/10497323231167829</v>
          </cell>
        </row>
        <row r="496">
          <cell r="M496" t="str">
            <v>10.1177/0044118X221140929</v>
          </cell>
        </row>
        <row r="497">
          <cell r="M497" t="str">
            <v>10.1079/9781800622975.0016</v>
          </cell>
        </row>
        <row r="498">
          <cell r="M498" t="str">
            <v>10.5055/jom.2023.0778</v>
          </cell>
        </row>
        <row r="499">
          <cell r="M499" t="str">
            <v>10.1037/prj0000575</v>
          </cell>
        </row>
        <row r="500">
          <cell r="M500" t="str">
            <v>10.17645/up.v8i4.6527</v>
          </cell>
        </row>
        <row r="501">
          <cell r="M501" t="str">
            <v>10.1093/jlb/lsad014</v>
          </cell>
        </row>
        <row r="502">
          <cell r="M502" t="str">
            <v>10.17645/up.v8i2.6461</v>
          </cell>
        </row>
        <row r="503">
          <cell r="M503"/>
        </row>
        <row r="504">
          <cell r="M504" t="str">
            <v>10.24908/ss.v21i1.14609</v>
          </cell>
        </row>
        <row r="505">
          <cell r="M505" t="str">
            <v>10.1080/19361610.2021.2005503</v>
          </cell>
        </row>
        <row r="506">
          <cell r="M506" t="str">
            <v>10.1186/s12889-022-12599-x</v>
          </cell>
        </row>
        <row r="507">
          <cell r="M507" t="str">
            <v>10.33423/jhetp.v22i16.5615</v>
          </cell>
        </row>
        <row r="508">
          <cell r="M508" t="str">
            <v>10.4324/9781003163954-42</v>
          </cell>
        </row>
        <row r="509">
          <cell r="M509" t="str">
            <v>10.1145/3534540.3534690</v>
          </cell>
        </row>
        <row r="510">
          <cell r="M510" t="str">
            <v>10.1007/978-981-16-5864-8_6</v>
          </cell>
        </row>
        <row r="511">
          <cell r="M511" t="str">
            <v>10.1007/978-3-031-05020-6_1</v>
          </cell>
        </row>
        <row r="512">
          <cell r="M512" t="str">
            <v>10.1139/facets-2022-0048</v>
          </cell>
        </row>
        <row r="513">
          <cell r="M513" t="str">
            <v>10.1080/01972243.2022.2076180</v>
          </cell>
        </row>
        <row r="514">
          <cell r="M514" t="str">
            <v>10.1037/amp0000897</v>
          </cell>
        </row>
        <row r="515">
          <cell r="M515" t="str">
            <v>10.1111/capa.12443</v>
          </cell>
        </row>
        <row r="516">
          <cell r="M516" t="str">
            <v>10.1136/bmjopen-2020-046957</v>
          </cell>
        </row>
        <row r="517">
          <cell r="M517" t="str">
            <v>10.1111/hic3.12679</v>
          </cell>
        </row>
        <row r="518">
          <cell r="M518" t="str">
            <v>10.1111/hic3.12680</v>
          </cell>
        </row>
        <row r="519">
          <cell r="M519" t="str">
            <v>10.1093/scipol/scz062</v>
          </cell>
        </row>
        <row r="520">
          <cell r="M520" t="str">
            <v>10.1017/S0008423920000888</v>
          </cell>
        </row>
        <row r="521">
          <cell r="M521" t="str">
            <v>10.1007/s13347-019-00371-w</v>
          </cell>
        </row>
        <row r="522">
          <cell r="M522" t="str">
            <v>10.1016/j.wss.2020.100008</v>
          </cell>
        </row>
        <row r="523">
          <cell r="M523" t="str">
            <v>10.4324/9780429286322-35</v>
          </cell>
        </row>
        <row r="524">
          <cell r="M524" t="str">
            <v>10.4324/9780429286322-1</v>
          </cell>
        </row>
        <row r="525">
          <cell r="M525" t="str">
            <v>10.4324/9780429286322-20</v>
          </cell>
        </row>
        <row r="526">
          <cell r="M526" t="str">
            <v>10.1080/09540121.2021.1874272</v>
          </cell>
        </row>
        <row r="527">
          <cell r="M527" t="str">
            <v>10.1007/s42413-020-00062-x</v>
          </cell>
        </row>
        <row r="528">
          <cell r="M528" t="str">
            <v>10.1111/cag.12645</v>
          </cell>
        </row>
        <row r="529">
          <cell r="M529" t="str">
            <v>10.1016/j.jdeveco.2020.102516</v>
          </cell>
        </row>
        <row r="530">
          <cell r="M530" t="str">
            <v>10.1007/s10878-020-00588-y</v>
          </cell>
        </row>
        <row r="531">
          <cell r="M531" t="str">
            <v>10.1080/02660830.2019.1595340</v>
          </cell>
        </row>
        <row r="532">
          <cell r="M532" t="str">
            <v>10.14254/1795-6889.2024.20-3.4</v>
          </cell>
        </row>
        <row r="533">
          <cell r="M533" t="str">
            <v>10.1123/ssj.2023-0183</v>
          </cell>
        </row>
        <row r="534">
          <cell r="M534" t="str">
            <v>10.1002/pra2.1108</v>
          </cell>
        </row>
        <row r="535">
          <cell r="M535" t="str">
            <v>10.2471/BLT.24.291579</v>
          </cell>
        </row>
        <row r="536">
          <cell r="M536" t="str">
            <v>10.1177/01634437231225031</v>
          </cell>
        </row>
        <row r="537">
          <cell r="M537" t="str">
            <v>10.1007/s00267-024-01975-5</v>
          </cell>
        </row>
        <row r="538">
          <cell r="M538" t="str">
            <v>10.1017/cts.2024.550</v>
          </cell>
        </row>
        <row r="539">
          <cell r="M539" t="str">
            <v>10.1353/cpr.2024.a948676</v>
          </cell>
        </row>
        <row r="540">
          <cell r="M540" t="str">
            <v>10.1080/14702541.2024.2374375</v>
          </cell>
        </row>
        <row r="541">
          <cell r="M541" t="str">
            <v>10.1080/10246029.2024.2341864</v>
          </cell>
        </row>
        <row r="542">
          <cell r="M542" t="str">
            <v>10.1080/00344893.2024.2345083</v>
          </cell>
        </row>
        <row r="543">
          <cell r="M543" t="str">
            <v>10.3389/fmars.2024.1336030</v>
          </cell>
        </row>
        <row r="544">
          <cell r="M544" t="str">
            <v>10.1590/1413-81232024293.06732023EN</v>
          </cell>
        </row>
        <row r="545">
          <cell r="M545" t="str">
            <v>10.1139/facets-2023-0033</v>
          </cell>
        </row>
        <row r="546">
          <cell r="M546" t="str">
            <v>10.1080/10999922.2023.2240623</v>
          </cell>
        </row>
        <row r="547">
          <cell r="M547" t="str">
            <v>10.1215/1089201X-10892817</v>
          </cell>
        </row>
        <row r="548">
          <cell r="M548" t="str">
            <v>10.3390/journalmedia4040072</v>
          </cell>
        </row>
        <row r="549">
          <cell r="M549" t="str">
            <v>10.1016/j.marpol.2023.105867</v>
          </cell>
        </row>
        <row r="550">
          <cell r="M550" t="str">
            <v>10.1108/TG-12-2022-0166</v>
          </cell>
        </row>
        <row r="551">
          <cell r="M551" t="str">
            <v>10.4337/9781800880887.00021</v>
          </cell>
        </row>
        <row r="552">
          <cell r="M552" t="str">
            <v>10.1371/journal.pone.0288539</v>
          </cell>
        </row>
        <row r="553">
          <cell r="M553" t="str">
            <v>10.2478/njms-2023-0003</v>
          </cell>
        </row>
        <row r="554">
          <cell r="M554" t="str">
            <v>10.4324/9780429261404</v>
          </cell>
        </row>
        <row r="555">
          <cell r="M555" t="str">
            <v>10.1111/abac.12279</v>
          </cell>
        </row>
        <row r="556">
          <cell r="M556" t="str">
            <v>10.1136/bmjopen-2022-067736</v>
          </cell>
        </row>
        <row r="557">
          <cell r="M557" t="str">
            <v>10.1136/bmjno-2022-000349</v>
          </cell>
        </row>
        <row r="558">
          <cell r="M558"/>
        </row>
        <row r="559">
          <cell r="M559" t="str">
            <v>10.3389/fcomm.2023.1260540</v>
          </cell>
        </row>
        <row r="560">
          <cell r="M560" t="str">
            <v>10.12688/wellcomeopenres.17244.2</v>
          </cell>
        </row>
        <row r="561">
          <cell r="M561" t="str">
            <v>10.34172/ijhpm.2023.6936</v>
          </cell>
        </row>
        <row r="562">
          <cell r="M562" t="str">
            <v>10.1080/13854046.2023.2178513</v>
          </cell>
        </row>
        <row r="563">
          <cell r="M563" t="str">
            <v>10.12927/hcpap.2023.26994</v>
          </cell>
        </row>
        <row r="564">
          <cell r="M564" t="str">
            <v>10.1177/16094069221149871</v>
          </cell>
        </row>
        <row r="565">
          <cell r="M565" t="str">
            <v>10.1080/10550887.2022.2088014</v>
          </cell>
        </row>
        <row r="566">
          <cell r="M566" t="str">
            <v>10.1080/09540121.2022.2085868</v>
          </cell>
        </row>
        <row r="567">
          <cell r="M567" t="str">
            <v>10.25318/82-003-x202201200001-eng</v>
          </cell>
        </row>
        <row r="568">
          <cell r="M568" t="str">
            <v>10.3390/nu14224882</v>
          </cell>
        </row>
        <row r="569">
          <cell r="M569" t="str">
            <v>10.3389/fpubh.2022.902374</v>
          </cell>
        </row>
        <row r="570">
          <cell r="M570" t="str">
            <v>10.1177/13558196221094248</v>
          </cell>
        </row>
        <row r="571">
          <cell r="M571"/>
        </row>
        <row r="572">
          <cell r="M572" t="str">
            <v>10.1007/978-3-030-96386-6_7</v>
          </cell>
        </row>
        <row r="573">
          <cell r="M573" t="str">
            <v>10.2217/fvl-2021-0266</v>
          </cell>
        </row>
        <row r="574">
          <cell r="M574" t="str">
            <v>10.1016/B978-0-12-824046-5.00008-4</v>
          </cell>
        </row>
        <row r="575">
          <cell r="M575" t="str">
            <v>10.1080/03003930.2022.2045277</v>
          </cell>
        </row>
        <row r="576">
          <cell r="M576" t="str">
            <v>10.3389/fpubh.2021.605695</v>
          </cell>
        </row>
        <row r="577">
          <cell r="M577" t="str">
            <v>10.30909/VOL.04.02.309324</v>
          </cell>
        </row>
        <row r="578">
          <cell r="M578" t="str">
            <v>10.3389/fpsyg.2021.571423</v>
          </cell>
        </row>
        <row r="579">
          <cell r="M579" t="str">
            <v>10.2196/29723</v>
          </cell>
        </row>
        <row r="580">
          <cell r="M580" t="str">
            <v>10.1007/978-3-030-64171-9_1</v>
          </cell>
        </row>
        <row r="581">
          <cell r="M581" t="str">
            <v>10.4324/9780429340840-2</v>
          </cell>
        </row>
        <row r="582">
          <cell r="M582" t="str">
            <v>10.1017/9781108750127.015</v>
          </cell>
        </row>
        <row r="583">
          <cell r="M583" t="str">
            <v>10.4337/9781789902266.00008</v>
          </cell>
        </row>
        <row r="584">
          <cell r="M584" t="str">
            <v>10.7203/QF.0.22047</v>
          </cell>
        </row>
        <row r="585">
          <cell r="M585" t="str">
            <v>10.1080/13604813.2021.1988346</v>
          </cell>
        </row>
        <row r="586">
          <cell r="M586"/>
        </row>
        <row r="587">
          <cell r="M587" t="str">
            <v>10.1111/glob.12235</v>
          </cell>
        </row>
        <row r="588">
          <cell r="M588" t="str">
            <v>10.3390/su12114670</v>
          </cell>
        </row>
        <row r="589">
          <cell r="M589" t="str">
            <v>10.4324/9781315270845-31</v>
          </cell>
        </row>
        <row r="590">
          <cell r="M590" t="str">
            <v>10.1080/14680777.2020.1785910</v>
          </cell>
        </row>
        <row r="591">
          <cell r="M591" t="str">
            <v>10.1111/capa.12588</v>
          </cell>
        </row>
        <row r="592">
          <cell r="M592" t="str">
            <v>10.1186/s12939-024-02352-8</v>
          </cell>
        </row>
        <row r="593">
          <cell r="M593" t="str">
            <v>10.1371/journal.pone.0314749</v>
          </cell>
        </row>
        <row r="594">
          <cell r="M594" t="str">
            <v>10.1142/9789811296642_0011</v>
          </cell>
        </row>
        <row r="595">
          <cell r="M595" t="str">
            <v>10.1016/j.wss.2024.100223</v>
          </cell>
        </row>
        <row r="596">
          <cell r="M596" t="str">
            <v>10.1111/acfi.13299</v>
          </cell>
        </row>
        <row r="597">
          <cell r="M597" t="str">
            <v>10.1016/j.jcrimjus.2024.102299</v>
          </cell>
        </row>
        <row r="598">
          <cell r="M598" t="str">
            <v>10.1016/j.energy.2024.132560</v>
          </cell>
        </row>
        <row r="599">
          <cell r="M599" t="str">
            <v>10.1371/journal.pone.0307018</v>
          </cell>
        </row>
        <row r="600">
          <cell r="M600" t="str">
            <v>10.1200/PO.24.00184</v>
          </cell>
        </row>
        <row r="601">
          <cell r="M601" t="str">
            <v>10.17269/s41997-024-00883-9</v>
          </cell>
        </row>
        <row r="602">
          <cell r="M602" t="str">
            <v>10.1108/978-1-80455-686-320241022</v>
          </cell>
        </row>
        <row r="603">
          <cell r="M603" t="str">
            <v>10.1353/his.2024.a928523</v>
          </cell>
        </row>
        <row r="604">
          <cell r="M604" t="str">
            <v>10.1017/aaq.2023.98</v>
          </cell>
        </row>
        <row r="605">
          <cell r="M605" t="str">
            <v>10.1136/bmjopen-2023-078833</v>
          </cell>
        </row>
        <row r="606">
          <cell r="M606" t="str">
            <v>10.1016/S2468-2667(24)00044-6</v>
          </cell>
        </row>
        <row r="607">
          <cell r="M607" t="str">
            <v>10.1016/j.socscimed.2024.116759</v>
          </cell>
        </row>
        <row r="608">
          <cell r="M608" t="str">
            <v>10.1016/j.vaccine.2024.01.003</v>
          </cell>
        </row>
        <row r="609">
          <cell r="M609" t="str">
            <v>10.1016/j.jpsychires.2024.01.003</v>
          </cell>
        </row>
        <row r="610">
          <cell r="M610" t="str">
            <v>10.1080/07421222.2024.2415775</v>
          </cell>
        </row>
        <row r="611">
          <cell r="M611" t="str">
            <v>10.4337/9781800887206.00012</v>
          </cell>
        </row>
        <row r="612">
          <cell r="M612" t="str">
            <v>10.4337/9781800885905.00049</v>
          </cell>
        </row>
        <row r="613">
          <cell r="M613" t="str">
            <v>10.1080/17460794.2024.2421666</v>
          </cell>
        </row>
        <row r="614">
          <cell r="M614" t="str">
            <v>10.4324/9781003435853-1</v>
          </cell>
        </row>
        <row r="615">
          <cell r="M615" t="str">
            <v>10.26522/ssj.v18i3.4801</v>
          </cell>
        </row>
        <row r="616">
          <cell r="M616" t="str">
            <v>10.1099/mgen.0.001293</v>
          </cell>
        </row>
        <row r="617">
          <cell r="M617" t="str">
            <v>10.1080/1461670X.2024.2358116</v>
          </cell>
        </row>
        <row r="618">
          <cell r="M618" t="str">
            <v>10.2196/48707</v>
          </cell>
        </row>
        <row r="619">
          <cell r="M619" t="str">
            <v>10.1080/15528014.2023.2284048</v>
          </cell>
        </row>
        <row r="620">
          <cell r="M620" t="str">
            <v>10.1080/09687637.2023.2261615</v>
          </cell>
        </row>
        <row r="621">
          <cell r="M621" t="str">
            <v>10.1080/01436597.2023.2251895</v>
          </cell>
        </row>
        <row r="622">
          <cell r="M622" t="str">
            <v>10.1007/978-3-031-68020-5</v>
          </cell>
        </row>
        <row r="623">
          <cell r="M623" t="str">
            <v>10.4324/9781003340430-15</v>
          </cell>
        </row>
        <row r="624">
          <cell r="M624" t="str">
            <v>10.3390/su151914378</v>
          </cell>
        </row>
        <row r="625">
          <cell r="M625"/>
        </row>
        <row r="626">
          <cell r="M626" t="str">
            <v>10.1111/fme.12627</v>
          </cell>
        </row>
        <row r="627">
          <cell r="M627" t="str">
            <v>10.3390/ijerph20136260</v>
          </cell>
        </row>
        <row r="628">
          <cell r="M628" t="str">
            <v>10.1017/aap.2022.46</v>
          </cell>
        </row>
        <row r="629">
          <cell r="M629"/>
        </row>
        <row r="630">
          <cell r="M630" t="str">
            <v>10.32866/001c.90533</v>
          </cell>
        </row>
        <row r="631">
          <cell r="M631" t="str">
            <v>10.18584/IIPJ.2023.14.3.14677</v>
          </cell>
        </row>
        <row r="632">
          <cell r="M632" t="str">
            <v>10.4000/CULTUREMUSEES.10013</v>
          </cell>
        </row>
        <row r="633">
          <cell r="M633" t="str">
            <v>10.1332/174426421X16875142087569</v>
          </cell>
        </row>
        <row r="634">
          <cell r="M634" t="str">
            <v>10.1080/01495933.2023.2263334</v>
          </cell>
        </row>
        <row r="635">
          <cell r="M635" t="str">
            <v>10.4324/9781003200871-35</v>
          </cell>
        </row>
        <row r="636">
          <cell r="M636" t="str">
            <v>10.54870/1551-3440.1598</v>
          </cell>
        </row>
        <row r="637">
          <cell r="M637" t="str">
            <v>10.1007/978-3-031-29937-7_5</v>
          </cell>
        </row>
        <row r="638">
          <cell r="M638" t="str">
            <v>10.2196/44720</v>
          </cell>
        </row>
        <row r="639">
          <cell r="M639" t="str">
            <v>10.1080/02701960.2022.2088534</v>
          </cell>
        </row>
        <row r="640">
          <cell r="M640" t="str">
            <v>10.5509/2022954685</v>
          </cell>
        </row>
        <row r="641">
          <cell r="M641" t="str">
            <v>10.1093/oxfordhb/9780198861126.013.15</v>
          </cell>
        </row>
        <row r="642">
          <cell r="M642" t="str">
            <v>10.24095/hpcdp.42.5.02</v>
          </cell>
        </row>
        <row r="643">
          <cell r="M643" t="str">
            <v>10.1108/JHOM-09-2020-0370</v>
          </cell>
        </row>
        <row r="644">
          <cell r="M644" t="str">
            <v>10.1007/978-3-030-74088-7_7</v>
          </cell>
        </row>
        <row r="645">
          <cell r="M645" t="str">
            <v>10.1007/978-981-19-5065-0_4</v>
          </cell>
        </row>
        <row r="646">
          <cell r="M646" t="str">
            <v>10.1007/978-3-031-05020-6_9</v>
          </cell>
        </row>
        <row r="647">
          <cell r="M647" t="str">
            <v>10.1007/978-3-031-05020-6_14</v>
          </cell>
        </row>
        <row r="648">
          <cell r="M648" t="str">
            <v>10.4324/9781003173427</v>
          </cell>
        </row>
        <row r="649">
          <cell r="M649" t="str">
            <v>10.9778/cmajo.20200249</v>
          </cell>
        </row>
        <row r="650">
          <cell r="M650" t="str">
            <v>10.1086/717512</v>
          </cell>
        </row>
        <row r="651">
          <cell r="M651" t="str">
            <v>10.1017/9781316796146.023</v>
          </cell>
        </row>
        <row r="652">
          <cell r="M652" t="str">
            <v>10.1145/3447548.3469441</v>
          </cell>
        </row>
        <row r="653">
          <cell r="M653" t="str">
            <v>10.1007/978-3-030-61452-2_10</v>
          </cell>
        </row>
        <row r="654">
          <cell r="M654" t="str">
            <v>10.1177/14782103211001635</v>
          </cell>
        </row>
        <row r="655">
          <cell r="M655"/>
        </row>
        <row r="656">
          <cell r="M656" t="str">
            <v>10.3138/topia-43-006</v>
          </cell>
        </row>
        <row r="657">
          <cell r="M657" t="str">
            <v>10.1007/978-981-16-5379-7_5</v>
          </cell>
        </row>
        <row r="658">
          <cell r="M658"/>
        </row>
        <row r="659">
          <cell r="M659" t="str">
            <v>10.5751/ES-12339-260216</v>
          </cell>
        </row>
        <row r="660">
          <cell r="M660" t="str">
            <v>10.1016/j.cub.2020.08.060</v>
          </cell>
        </row>
        <row r="661">
          <cell r="M661" t="str">
            <v>10.1111/dar.13095</v>
          </cell>
        </row>
        <row r="662">
          <cell r="M662" t="str">
            <v>10.1007/s42413-020-00065-8</v>
          </cell>
        </row>
        <row r="663">
          <cell r="M663" t="str">
            <v>10.1016/B978-0-12-817566-8.00002-4</v>
          </cell>
        </row>
        <row r="664">
          <cell r="M664" t="str">
            <v>10.5465/AMBPP.2020.5</v>
          </cell>
        </row>
        <row r="665">
          <cell r="M665" t="str">
            <v>10.1007/978-3-030-47150-7_16</v>
          </cell>
        </row>
        <row r="666">
          <cell r="M666" t="str">
            <v>10.1007/978-3-030-14622-1_85</v>
          </cell>
        </row>
        <row r="667">
          <cell r="M667" t="str">
            <v>10.32866/001c.13207</v>
          </cell>
        </row>
        <row r="668">
          <cell r="M668" t="str">
            <v>10.4324/9781003458081-14</v>
          </cell>
        </row>
        <row r="669">
          <cell r="M669" t="str">
            <v>10.1136/bmjopen-2023-078287</v>
          </cell>
        </row>
        <row r="670">
          <cell r="M670" t="str">
            <v>10.1186/s12954-024-01036-4</v>
          </cell>
        </row>
        <row r="671">
          <cell r="M671" t="str">
            <v>10.1017/S0008423924000325</v>
          </cell>
        </row>
        <row r="672">
          <cell r="M672" t="str">
            <v>10.4324/9781003290933-5</v>
          </cell>
        </row>
        <row r="673">
          <cell r="M673" t="str">
            <v>10.1016/j.maturitas.2024.108088</v>
          </cell>
        </row>
        <row r="674">
          <cell r="M674" t="str">
            <v>10.4324/9781003519577</v>
          </cell>
        </row>
        <row r="675">
          <cell r="M675" t="str">
            <v>10.4324/9781003410591-67</v>
          </cell>
        </row>
        <row r="676">
          <cell r="M676" t="str">
            <v>10.1057/s41253-024-00261-4</v>
          </cell>
        </row>
        <row r="677">
          <cell r="M677" t="str">
            <v>10.1177/02697580241232436</v>
          </cell>
        </row>
        <row r="678">
          <cell r="M678" t="str">
            <v>10.2196/52018</v>
          </cell>
        </row>
        <row r="679">
          <cell r="M679" t="str">
            <v>10.1123/jpah.2023-0740</v>
          </cell>
        </row>
        <row r="680">
          <cell r="M680" t="str">
            <v>10.1177/23210222241237041</v>
          </cell>
        </row>
        <row r="681">
          <cell r="M681" t="str">
            <v>10.1007/s00406-023-01664-0</v>
          </cell>
        </row>
        <row r="682">
          <cell r="M682"/>
        </row>
        <row r="683">
          <cell r="M683" t="str">
            <v>10.1007/978-3-031-78586-3_8</v>
          </cell>
        </row>
        <row r="684">
          <cell r="M684" t="str">
            <v>10.3389/frsc.2024.1518618</v>
          </cell>
        </row>
        <row r="685">
          <cell r="M685" t="str">
            <v>10.4324/9781003575474-6</v>
          </cell>
        </row>
        <row r="686">
          <cell r="M686" t="str">
            <v>10.3389/fdgth.2024.1484503</v>
          </cell>
        </row>
        <row r="687">
          <cell r="M687" t="str">
            <v>10.1007/978-3-031-46514-7_4</v>
          </cell>
        </row>
        <row r="688">
          <cell r="M688" t="str">
            <v>10.4324/9781003449508-23</v>
          </cell>
        </row>
        <row r="689">
          <cell r="M689" t="str">
            <v>10.4324/9781003253068-11</v>
          </cell>
        </row>
        <row r="690">
          <cell r="M690" t="str">
            <v>10.4337/9781802209228.00014</v>
          </cell>
        </row>
        <row r="691">
          <cell r="M691" t="str">
            <v>10.1590/1678-9865202437E230139</v>
          </cell>
        </row>
        <row r="692">
          <cell r="M692" t="str">
            <v>10.1016/B978-0-443-32824-4.00003-1</v>
          </cell>
        </row>
        <row r="693">
          <cell r="M693" t="str">
            <v>10.1007/978-3-031-58488-6_1</v>
          </cell>
        </row>
        <row r="694">
          <cell r="M694" t="str">
            <v>10.1080/02722011.2024.2364375</v>
          </cell>
        </row>
        <row r="695">
          <cell r="M695" t="str">
            <v>10.1007/s11212-024-09647-0</v>
          </cell>
        </row>
        <row r="696">
          <cell r="M696" t="str">
            <v>10.1007/978-3-031-61966-3_5</v>
          </cell>
        </row>
        <row r="697">
          <cell r="M697" t="str">
            <v>10.1080/26883597.2023.2182700</v>
          </cell>
        </row>
        <row r="698">
          <cell r="M698" t="str">
            <v>10.3389/fpsyg.2024.1374330</v>
          </cell>
        </row>
        <row r="699">
          <cell r="M699" t="str">
            <v>10.1080/09540121.2023.2277150</v>
          </cell>
        </row>
        <row r="700">
          <cell r="M700" t="str">
            <v>10.1080/13629395.2023.2183665</v>
          </cell>
        </row>
        <row r="701">
          <cell r="M701" t="str">
            <v>10.1108/979-8-88730-858-620251003</v>
          </cell>
        </row>
        <row r="702">
          <cell r="M702"/>
        </row>
        <row r="703">
          <cell r="M703"/>
        </row>
        <row r="704">
          <cell r="M704" t="str">
            <v>10.7238/d.v0i33.431332</v>
          </cell>
        </row>
        <row r="705">
          <cell r="M705" t="str">
            <v>10.1007/978-3-031-72182-3_8</v>
          </cell>
        </row>
        <row r="706">
          <cell r="M706" t="str">
            <v>10.1007/978-3-031-67943-8_13</v>
          </cell>
        </row>
        <row r="707">
          <cell r="M707" t="str">
            <v>10.4337/9781803924830.00009</v>
          </cell>
        </row>
        <row r="708">
          <cell r="M708" t="str">
            <v>10.1016/B978-0-323-90386-8.00046-2</v>
          </cell>
        </row>
        <row r="709">
          <cell r="M709" t="str">
            <v>10.1163/9789004641228</v>
          </cell>
        </row>
        <row r="710">
          <cell r="M710" t="str">
            <v>10.1371/journal.pone.0294608</v>
          </cell>
        </row>
        <row r="711">
          <cell r="M711" t="str">
            <v>10.1177/14748851211073728</v>
          </cell>
        </row>
        <row r="712">
          <cell r="M712" t="str">
            <v>10.1163/9789004643772_007</v>
          </cell>
        </row>
        <row r="713">
          <cell r="M713"/>
        </row>
        <row r="714">
          <cell r="M714" t="str">
            <v>10.3138/uhr-2022-0033</v>
          </cell>
        </row>
        <row r="715">
          <cell r="M715" t="str">
            <v>10.3138/9781487555382-022</v>
          </cell>
        </row>
        <row r="716">
          <cell r="M716" t="str">
            <v>10.1016/j.drugpo.2023.104018</v>
          </cell>
        </row>
        <row r="717">
          <cell r="M717" t="str">
            <v>10.1007/s10784-022-09586-3</v>
          </cell>
        </row>
        <row r="718">
          <cell r="M718"/>
        </row>
        <row r="719">
          <cell r="M719"/>
        </row>
        <row r="720">
          <cell r="M720"/>
        </row>
        <row r="721">
          <cell r="M721" t="str">
            <v>10.5465/AMPROC.2023.173bp</v>
          </cell>
        </row>
        <row r="722">
          <cell r="M722" t="str">
            <v>10.1007/978-3-031-25871-8_4</v>
          </cell>
        </row>
        <row r="723">
          <cell r="M723"/>
        </row>
        <row r="724">
          <cell r="M724"/>
        </row>
        <row r="725">
          <cell r="M725" t="str">
            <v>10.1007/978-3-031-04504-2_7</v>
          </cell>
        </row>
        <row r="726">
          <cell r="M726" t="str">
            <v>10.3934/math.2023619</v>
          </cell>
        </row>
        <row r="727">
          <cell r="M727" t="str">
            <v>10.7440/antipoda50.2023.01</v>
          </cell>
        </row>
        <row r="728">
          <cell r="M728" t="str">
            <v>10.1080/10410236.2022.2149112</v>
          </cell>
        </row>
        <row r="729">
          <cell r="M729" t="str">
            <v>10.5117/9789463720762_CH04</v>
          </cell>
        </row>
        <row r="730">
          <cell r="M730" t="str">
            <v>10.1007/978-3-030-66252-3_1312</v>
          </cell>
        </row>
        <row r="731">
          <cell r="M731" t="str">
            <v>10.5509/2022954707</v>
          </cell>
        </row>
        <row r="732">
          <cell r="M732" t="str">
            <v>10.1002/cjas.1678</v>
          </cell>
        </row>
        <row r="733">
          <cell r="M733" t="str">
            <v>10.1017/9781009001021.026</v>
          </cell>
        </row>
        <row r="734">
          <cell r="M734" t="str">
            <v>10.1016/j.ijedudev.2022.102672</v>
          </cell>
        </row>
        <row r="735">
          <cell r="M735" t="str">
            <v>10.1108/978-1-83982-468-520221009</v>
          </cell>
        </row>
        <row r="736">
          <cell r="M736" t="str">
            <v>10.3390/jrfm15090387</v>
          </cell>
        </row>
        <row r="737">
          <cell r="M737" t="str">
            <v>10.1503/cjs.007920</v>
          </cell>
        </row>
        <row r="738">
          <cell r="M738" t="str">
            <v>10.1142/9789811249723_0016</v>
          </cell>
        </row>
        <row r="739">
          <cell r="M739"/>
        </row>
        <row r="740">
          <cell r="M740" t="str">
            <v>10.5465/AMBPP.2022.126</v>
          </cell>
        </row>
        <row r="741">
          <cell r="M741" t="str">
            <v>10.1007/978-3-030-84694-7_51</v>
          </cell>
        </row>
        <row r="742">
          <cell r="M742" t="str">
            <v>10.1007/978-3-030-81877-7_2</v>
          </cell>
        </row>
        <row r="743">
          <cell r="M743" t="str">
            <v>10.1007/978-3-030-81534-9_10</v>
          </cell>
        </row>
        <row r="744">
          <cell r="M744" t="str">
            <v>10.1007/978-3-031-20624-5_32</v>
          </cell>
        </row>
        <row r="745">
          <cell r="M745" t="str">
            <v>10.4324/9781003191049-17</v>
          </cell>
        </row>
        <row r="746">
          <cell r="M746" t="str">
            <v>10.4324/9781003264262-4</v>
          </cell>
        </row>
        <row r="747">
          <cell r="M747" t="str">
            <v>10.22230/cjc.2022v47n1a3841</v>
          </cell>
        </row>
        <row r="748">
          <cell r="M748" t="str">
            <v>10.1080/14797585.2022.2040336</v>
          </cell>
        </row>
        <row r="749">
          <cell r="M749" t="str">
            <v>10.1017/9781009037075.012</v>
          </cell>
        </row>
        <row r="750">
          <cell r="M750"/>
        </row>
        <row r="751">
          <cell r="M751" t="str">
            <v>10.1177/11771801211038395</v>
          </cell>
        </row>
        <row r="752">
          <cell r="M752"/>
        </row>
        <row r="753">
          <cell r="M753" t="str">
            <v>10.1177/0020702021996315</v>
          </cell>
        </row>
        <row r="754">
          <cell r="M754" t="str">
            <v>10.1007/978-3-030-54169-9_7</v>
          </cell>
        </row>
        <row r="755">
          <cell r="M755" t="str">
            <v>10.14746/PRT2021.4.4</v>
          </cell>
        </row>
        <row r="756">
          <cell r="M756" t="str">
            <v>10.1007/978-3-030-71527-4_7</v>
          </cell>
        </row>
        <row r="757">
          <cell r="M757" t="str">
            <v>10.4324/9780429286322-37</v>
          </cell>
        </row>
        <row r="758">
          <cell r="M758" t="str">
            <v>10.1163/1569206X-12342005</v>
          </cell>
        </row>
        <row r="759">
          <cell r="M759"/>
        </row>
        <row r="760">
          <cell r="M760" t="str">
            <v>10.7870/cjcmh-2020-028</v>
          </cell>
        </row>
        <row r="761">
          <cell r="M761" t="str">
            <v>10.33182/ijor.v1i1.1104</v>
          </cell>
        </row>
        <row r="762">
          <cell r="M762" t="str">
            <v>10.1177/0169796X20962878</v>
          </cell>
        </row>
        <row r="763">
          <cell r="M763" t="str">
            <v>10.1177/0169796X20948002</v>
          </cell>
        </row>
        <row r="764">
          <cell r="M764" t="str">
            <v>10.1016/j.wneu.2020.02.133</v>
          </cell>
        </row>
        <row r="765">
          <cell r="M765" t="str">
            <v>10.1007/978-3-030-23210-8_128</v>
          </cell>
        </row>
        <row r="766">
          <cell r="M766" t="str">
            <v>10.4337/9781788978927.00023</v>
          </cell>
        </row>
        <row r="767">
          <cell r="M767" t="str">
            <v>10.4337/9781788978927.00024</v>
          </cell>
        </row>
        <row r="768">
          <cell r="M768" t="str">
            <v>10.1332/175795919X15717233852148</v>
          </cell>
        </row>
        <row r="769">
          <cell r="M769" t="str">
            <v>10.1002/9781118635193.ctwl0211</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9C75-AAC3-4472-8484-FEAF6EF099EF}">
  <dimension ref="A1:J969"/>
  <sheetViews>
    <sheetView tabSelected="1" zoomScale="59" workbookViewId="0"/>
  </sheetViews>
  <sheetFormatPr defaultRowHeight="14.25" x14ac:dyDescent="0.45"/>
  <cols>
    <col min="1" max="1" width="97.33203125" customWidth="1"/>
    <col min="2" max="2" width="52.6640625" bestFit="1" customWidth="1"/>
    <col min="3" max="3" width="14.6640625" bestFit="1" customWidth="1"/>
    <col min="4" max="4" width="115.53125" customWidth="1"/>
    <col min="5" max="5" width="40.86328125" customWidth="1"/>
    <col min="6" max="6" width="14.1328125" bestFit="1" customWidth="1"/>
    <col min="9" max="9" width="23.1328125" bestFit="1" customWidth="1"/>
  </cols>
  <sheetData>
    <row r="1" spans="1:10" x14ac:dyDescent="0.45">
      <c r="A1" s="1" t="s">
        <v>0</v>
      </c>
      <c r="B1" s="1" t="s">
        <v>1</v>
      </c>
      <c r="C1" s="1" t="s">
        <v>2</v>
      </c>
      <c r="D1" s="1" t="s">
        <v>3</v>
      </c>
      <c r="E1" s="1" t="s">
        <v>4</v>
      </c>
      <c r="F1" s="1" t="s">
        <v>5</v>
      </c>
      <c r="I1" s="2" t="s">
        <v>6</v>
      </c>
      <c r="J1" s="3"/>
    </row>
    <row r="2" spans="1:10" x14ac:dyDescent="0.45">
      <c r="A2" t="s">
        <v>7</v>
      </c>
      <c r="B2" t="str">
        <f>_xlfn.REGEXREPLACE([1]query1!B2, "https://doi.org/", "")</f>
        <v>10.3390/rs12020266</v>
      </c>
      <c r="C2">
        <v>355</v>
      </c>
      <c r="D2" s="4" t="s">
        <v>8</v>
      </c>
      <c r="E2" s="4" t="s">
        <v>9</v>
      </c>
      <c r="F2" s="4">
        <v>788</v>
      </c>
      <c r="I2" s="5" t="s">
        <v>10</v>
      </c>
      <c r="J2" s="6" cm="1">
        <f t="array" ref="J2">COUNT(1-ISBLANK(A2:A969))</f>
        <v>968</v>
      </c>
    </row>
    <row r="3" spans="1:10" x14ac:dyDescent="0.45">
      <c r="A3" t="s">
        <v>11</v>
      </c>
      <c r="B3" t="str">
        <f>_xlfn.REGEXREPLACE([1]query1!B3, "https://doi.org/", "")</f>
        <v>10.1109/cvpr42600.2020.01111</v>
      </c>
      <c r="C3">
        <v>353</v>
      </c>
      <c r="D3" s="4" t="s">
        <v>12</v>
      </c>
      <c r="E3" s="4" t="s">
        <v>13</v>
      </c>
      <c r="F3" s="4">
        <v>458</v>
      </c>
      <c r="I3" s="7" t="s">
        <v>14</v>
      </c>
      <c r="J3" s="8" cm="1">
        <f t="array" ref="J3">COUNT(1-ISBLANK(D2:D951))</f>
        <v>950</v>
      </c>
    </row>
    <row r="4" spans="1:10" x14ac:dyDescent="0.45">
      <c r="A4" t="s">
        <v>15</v>
      </c>
      <c r="B4" t="str">
        <f>_xlfn.REGEXREPLACE([1]query1!B4, "https://doi.org/", "")</f>
        <v>10.1175/jcli-d-19-1013.1</v>
      </c>
      <c r="C4">
        <v>329</v>
      </c>
      <c r="D4" s="4" t="s">
        <v>16</v>
      </c>
      <c r="E4" s="4" t="s">
        <v>17</v>
      </c>
      <c r="F4" s="4">
        <v>377</v>
      </c>
      <c r="I4" s="9" t="s">
        <v>18</v>
      </c>
      <c r="J4" s="10" cm="1">
        <f t="array" ref="J4">SUM(IF(NOT(ISNA(_xlfn.XLOOKUP(B2:B969,$E$2:$E$951,$E$2:$E$951)))=TRUE, 1, 0))/J2</f>
        <v>0.66219008264462809</v>
      </c>
    </row>
    <row r="5" spans="1:10" x14ac:dyDescent="0.45">
      <c r="A5" t="s">
        <v>19</v>
      </c>
      <c r="B5" t="str">
        <f>_xlfn.REGEXREPLACE([1]query1!B5, "https://doi.org/", "")</f>
        <v>10.1111/ele.13568</v>
      </c>
      <c r="C5">
        <v>323</v>
      </c>
      <c r="D5" s="4" t="s">
        <v>20</v>
      </c>
      <c r="E5" s="4"/>
      <c r="F5" s="4">
        <v>319</v>
      </c>
      <c r="I5" s="9" t="s">
        <v>21</v>
      </c>
      <c r="J5" s="10" cm="1">
        <f t="array" ref="J5">SUM(IF(NOT(ISNA(_xlfn.XLOOKUP(E2:E951,$B$2:$B$969,$B$2:$B$969)))=TRUE, 1, 0))/J3</f>
        <v>0.67684210526315791</v>
      </c>
    </row>
    <row r="6" spans="1:10" x14ac:dyDescent="0.45">
      <c r="A6" t="s">
        <v>12</v>
      </c>
      <c r="B6" t="str">
        <f>_xlfn.REGEXREPLACE([1]query1!B6, "https://doi.org/", "")</f>
        <v>10.1109/tgrs.2023.3258666</v>
      </c>
      <c r="C6">
        <v>284</v>
      </c>
      <c r="D6" s="4" t="s">
        <v>22</v>
      </c>
      <c r="E6" s="4" t="s">
        <v>23</v>
      </c>
      <c r="F6" s="4">
        <v>317</v>
      </c>
    </row>
    <row r="7" spans="1:10" x14ac:dyDescent="0.45">
      <c r="A7" t="s">
        <v>24</v>
      </c>
      <c r="B7" t="str">
        <f>_xlfn.REGEXREPLACE([1]query1!B7, "https://doi.org/", "")</f>
        <v>10.1109/tii.2022.3158974</v>
      </c>
      <c r="C7">
        <v>277</v>
      </c>
      <c r="D7" s="4" t="s">
        <v>24</v>
      </c>
      <c r="E7" s="4" t="s">
        <v>25</v>
      </c>
      <c r="F7" s="4">
        <v>277</v>
      </c>
    </row>
    <row r="8" spans="1:10" x14ac:dyDescent="0.45">
      <c r="A8" t="s">
        <v>26</v>
      </c>
      <c r="B8" t="str">
        <f>_xlfn.REGEXREPLACE([1]query1!B8, "https://doi.org/", "")</f>
        <v>10.5194/bg-17-2987-2020</v>
      </c>
      <c r="C8">
        <v>234</v>
      </c>
      <c r="D8" s="4" t="s">
        <v>27</v>
      </c>
      <c r="E8" s="4" t="s">
        <v>28</v>
      </c>
      <c r="F8" s="4">
        <v>255</v>
      </c>
    </row>
    <row r="9" spans="1:10" x14ac:dyDescent="0.45">
      <c r="A9" t="s">
        <v>29</v>
      </c>
      <c r="B9" t="str">
        <f>_xlfn.REGEXREPLACE([1]query1!B9, "https://doi.org/", "")</f>
        <v>10.1038/s41586-023-05867-2</v>
      </c>
      <c r="C9">
        <v>217</v>
      </c>
      <c r="D9" s="4" t="s">
        <v>30</v>
      </c>
      <c r="E9" s="4" t="s">
        <v>31</v>
      </c>
      <c r="F9" s="4">
        <v>249</v>
      </c>
    </row>
    <row r="10" spans="1:10" x14ac:dyDescent="0.45">
      <c r="A10" t="s">
        <v>32</v>
      </c>
      <c r="B10" t="str">
        <f>_xlfn.REGEXREPLACE([1]query1!B10, "https://doi.org/", "")</f>
        <v>10.1038/s41567-022-01741-6</v>
      </c>
      <c r="C10">
        <v>199</v>
      </c>
      <c r="D10" s="4" t="s">
        <v>33</v>
      </c>
      <c r="E10" s="4" t="s">
        <v>34</v>
      </c>
      <c r="F10" s="4">
        <v>216</v>
      </c>
    </row>
    <row r="11" spans="1:10" x14ac:dyDescent="0.45">
      <c r="A11" t="s">
        <v>35</v>
      </c>
      <c r="B11" t="str">
        <f>_xlfn.REGEXREPLACE([1]query1!B11, "https://doi.org/", "")</f>
        <v>10.1109/lra.2020.3013848</v>
      </c>
      <c r="C11">
        <v>147</v>
      </c>
      <c r="D11" s="4" t="s">
        <v>29</v>
      </c>
      <c r="E11" s="4" t="s">
        <v>36</v>
      </c>
      <c r="F11" s="4">
        <v>173</v>
      </c>
    </row>
    <row r="12" spans="1:10" x14ac:dyDescent="0.45">
      <c r="A12" t="s">
        <v>37</v>
      </c>
      <c r="B12" t="str">
        <f>_xlfn.REGEXREPLACE([1]query1!B12, "https://doi.org/", "")</f>
        <v>10.3390/ijerph17144933</v>
      </c>
      <c r="C12">
        <v>145</v>
      </c>
      <c r="D12" s="4" t="s">
        <v>35</v>
      </c>
      <c r="E12" s="4" t="s">
        <v>38</v>
      </c>
      <c r="F12" s="4">
        <v>172</v>
      </c>
    </row>
    <row r="13" spans="1:10" x14ac:dyDescent="0.45">
      <c r="A13" t="s">
        <v>39</v>
      </c>
      <c r="B13" t="str">
        <f>_xlfn.REGEXREPLACE([1]query1!B13, "https://doi.org/", "")</f>
        <v>10.1038/s41562-020-0835-8</v>
      </c>
      <c r="C13">
        <v>137</v>
      </c>
      <c r="D13" s="4" t="s">
        <v>40</v>
      </c>
      <c r="E13" s="4" t="s">
        <v>41</v>
      </c>
      <c r="F13" s="4">
        <v>165</v>
      </c>
    </row>
    <row r="14" spans="1:10" x14ac:dyDescent="0.45">
      <c r="A14" t="s">
        <v>42</v>
      </c>
      <c r="B14" t="str">
        <f>_xlfn.REGEXREPLACE([1]query1!B14, "https://doi.org/", "")</f>
        <v>10.1016/j.jhealeco.2021.102475</v>
      </c>
      <c r="C14">
        <v>130</v>
      </c>
      <c r="D14" s="4" t="s">
        <v>43</v>
      </c>
      <c r="E14" s="4" t="s">
        <v>44</v>
      </c>
      <c r="F14" s="4">
        <v>160</v>
      </c>
    </row>
    <row r="15" spans="1:10" x14ac:dyDescent="0.45">
      <c r="A15" t="s">
        <v>45</v>
      </c>
      <c r="B15" t="str">
        <f>_xlfn.REGEXREPLACE([1]query1!B15, "https://doi.org/", "")</f>
        <v>10.1038/s41562-022-01363-1</v>
      </c>
      <c r="C15">
        <v>128</v>
      </c>
      <c r="D15" s="4" t="s">
        <v>46</v>
      </c>
      <c r="E15" s="4" t="s">
        <v>47</v>
      </c>
      <c r="F15" s="4">
        <v>158</v>
      </c>
    </row>
    <row r="16" spans="1:10" x14ac:dyDescent="0.45">
      <c r="A16" t="s">
        <v>48</v>
      </c>
      <c r="B16" t="str">
        <f>_xlfn.REGEXREPLACE([1]query1!B16, "https://doi.org/", "")</f>
        <v>10.1021/acsami.9b21530</v>
      </c>
      <c r="C16">
        <v>127</v>
      </c>
      <c r="D16" s="4" t="s">
        <v>49</v>
      </c>
      <c r="E16" s="4" t="s">
        <v>50</v>
      </c>
      <c r="F16" s="4">
        <v>147</v>
      </c>
    </row>
    <row r="17" spans="1:6" x14ac:dyDescent="0.45">
      <c r="A17" t="s">
        <v>51</v>
      </c>
      <c r="B17" t="str">
        <f>_xlfn.REGEXREPLACE([1]query1!B17, "https://doi.org/", "")</f>
        <v>10.1017/aog.2020.11</v>
      </c>
      <c r="C17">
        <v>125</v>
      </c>
      <c r="D17" s="4" t="s">
        <v>52</v>
      </c>
      <c r="E17" s="4" t="s">
        <v>53</v>
      </c>
      <c r="F17" s="4">
        <v>133</v>
      </c>
    </row>
    <row r="18" spans="1:6" x14ac:dyDescent="0.45">
      <c r="A18" t="s">
        <v>54</v>
      </c>
      <c r="B18" t="str">
        <f>_xlfn.REGEXREPLACE([1]query1!B18, "https://doi.org/", "")</f>
        <v>10.3390/electronics11030431</v>
      </c>
      <c r="C18">
        <v>123</v>
      </c>
      <c r="D18" s="4" t="s">
        <v>55</v>
      </c>
      <c r="E18" s="4" t="s">
        <v>56</v>
      </c>
      <c r="F18" s="4">
        <v>124</v>
      </c>
    </row>
    <row r="19" spans="1:6" x14ac:dyDescent="0.45">
      <c r="A19" t="s">
        <v>57</v>
      </c>
      <c r="B19" t="str">
        <f>_xlfn.REGEXREPLACE([1]query1!B19, "https://doi.org/", "")</f>
        <v>10.1126/sciadv.aba5847</v>
      </c>
      <c r="C19">
        <v>123</v>
      </c>
      <c r="D19" s="4" t="s">
        <v>58</v>
      </c>
      <c r="E19" s="4" t="s">
        <v>59</v>
      </c>
      <c r="F19" s="4">
        <v>117</v>
      </c>
    </row>
    <row r="20" spans="1:6" x14ac:dyDescent="0.45">
      <c r="A20" t="s">
        <v>60</v>
      </c>
      <c r="B20" t="str">
        <f>_xlfn.REGEXREPLACE([1]query1!B20, "https://doi.org/", "")</f>
        <v>10.1109/tie.2023.3301550</v>
      </c>
      <c r="C20">
        <v>103</v>
      </c>
      <c r="D20" s="4" t="s">
        <v>39</v>
      </c>
      <c r="E20" s="4" t="s">
        <v>61</v>
      </c>
      <c r="F20" s="4">
        <v>116</v>
      </c>
    </row>
    <row r="21" spans="1:6" x14ac:dyDescent="0.45">
      <c r="A21" t="s">
        <v>62</v>
      </c>
      <c r="B21" t="str">
        <f>_xlfn.REGEXREPLACE([1]query1!B21, "https://doi.org/", "")</f>
        <v>10.1109/tie.2022.3229375</v>
      </c>
      <c r="C21">
        <v>100</v>
      </c>
      <c r="D21" s="4" t="s">
        <v>63</v>
      </c>
      <c r="E21" s="4" t="s">
        <v>64</v>
      </c>
      <c r="F21" s="4">
        <v>114</v>
      </c>
    </row>
    <row r="22" spans="1:6" x14ac:dyDescent="0.45">
      <c r="A22" t="s">
        <v>65</v>
      </c>
      <c r="B22" t="str">
        <f>_xlfn.REGEXREPLACE([1]query1!B22, "https://doi.org/", "")</f>
        <v>10.1109/icra48506.2021.9560748</v>
      </c>
      <c r="C22">
        <v>99</v>
      </c>
      <c r="D22" s="4" t="s">
        <v>54</v>
      </c>
      <c r="E22" s="4" t="s">
        <v>66</v>
      </c>
      <c r="F22" s="4">
        <v>109</v>
      </c>
    </row>
    <row r="23" spans="1:6" x14ac:dyDescent="0.45">
      <c r="A23" t="s">
        <v>67</v>
      </c>
      <c r="B23" t="str">
        <f>_xlfn.REGEXREPLACE([1]query1!B23, "https://doi.org/", "")</f>
        <v>10.1371/journal.pone.0240878</v>
      </c>
      <c r="C23">
        <v>96</v>
      </c>
      <c r="D23" s="4" t="s">
        <v>68</v>
      </c>
      <c r="E23" s="4" t="s">
        <v>69</v>
      </c>
      <c r="F23" s="4">
        <v>109</v>
      </c>
    </row>
    <row r="24" spans="1:6" x14ac:dyDescent="0.45">
      <c r="A24" t="s">
        <v>70</v>
      </c>
      <c r="B24" t="str">
        <f>_xlfn.REGEXREPLACE([1]query1!B24, "https://doi.org/", "")</f>
        <v>10.1016/j.wace.2022.100441</v>
      </c>
      <c r="C24">
        <v>94</v>
      </c>
      <c r="D24" s="4" t="s">
        <v>65</v>
      </c>
      <c r="E24" s="4" t="s">
        <v>71</v>
      </c>
      <c r="F24" s="4">
        <v>108</v>
      </c>
    </row>
    <row r="25" spans="1:6" x14ac:dyDescent="0.45">
      <c r="A25" t="s">
        <v>72</v>
      </c>
      <c r="B25" t="str">
        <f>_xlfn.REGEXREPLACE([1]query1!B25, "https://doi.org/", "")</f>
        <v>10.1177/02783649241285161</v>
      </c>
      <c r="C25">
        <v>88</v>
      </c>
      <c r="D25" s="4" t="s">
        <v>73</v>
      </c>
      <c r="E25" s="4" t="s">
        <v>74</v>
      </c>
      <c r="F25" s="4">
        <v>107</v>
      </c>
    </row>
    <row r="26" spans="1:6" x14ac:dyDescent="0.45">
      <c r="A26" t="s">
        <v>75</v>
      </c>
      <c r="B26" t="str">
        <f>_xlfn.REGEXREPLACE([1]query1!B26, "https://doi.org/", "")</f>
        <v>10.1109/lgrs.2023.3239263</v>
      </c>
      <c r="C26">
        <v>78</v>
      </c>
      <c r="D26" s="4" t="s">
        <v>76</v>
      </c>
      <c r="E26" s="4" t="s">
        <v>77</v>
      </c>
      <c r="F26" s="4">
        <v>106</v>
      </c>
    </row>
    <row r="27" spans="1:6" x14ac:dyDescent="0.45">
      <c r="A27" t="s">
        <v>78</v>
      </c>
      <c r="B27" t="str">
        <f>_xlfn.REGEXREPLACE([1]query1!B27, "https://doi.org/", "")</f>
        <v>10.1080/0960085x.2019.1708821</v>
      </c>
      <c r="C27">
        <v>76</v>
      </c>
      <c r="D27" s="4" t="s">
        <v>79</v>
      </c>
      <c r="E27" s="4" t="s">
        <v>80</v>
      </c>
      <c r="F27" s="4">
        <v>105</v>
      </c>
    </row>
    <row r="28" spans="1:6" x14ac:dyDescent="0.45">
      <c r="A28" t="s">
        <v>81</v>
      </c>
      <c r="B28" t="str">
        <f>_xlfn.REGEXREPLACE([1]query1!B28, "https://doi.org/", "")</f>
        <v>10.1016/j.ausmj.2020.07.006</v>
      </c>
      <c r="C28">
        <v>75</v>
      </c>
      <c r="D28" s="4" t="s">
        <v>51</v>
      </c>
      <c r="E28" s="4" t="s">
        <v>82</v>
      </c>
      <c r="F28" s="4">
        <v>102</v>
      </c>
    </row>
    <row r="29" spans="1:6" x14ac:dyDescent="0.45">
      <c r="A29" t="s">
        <v>83</v>
      </c>
      <c r="B29" t="str">
        <f>_xlfn.REGEXREPLACE([1]query1!B29, "https://doi.org/", "")</f>
        <v>10.1016/j.coldregions.2021.103462</v>
      </c>
      <c r="C29">
        <v>73</v>
      </c>
      <c r="D29" s="4" t="s">
        <v>45</v>
      </c>
      <c r="E29" s="4" t="s">
        <v>84</v>
      </c>
      <c r="F29" s="4">
        <v>99</v>
      </c>
    </row>
    <row r="30" spans="1:6" x14ac:dyDescent="0.45">
      <c r="A30" t="s">
        <v>85</v>
      </c>
      <c r="B30" t="str">
        <f>_xlfn.REGEXREPLACE([1]query1!B30, "https://doi.org/", "")</f>
        <v>10.5194/gmd-13-4183-2020</v>
      </c>
      <c r="C30">
        <v>72</v>
      </c>
      <c r="D30" s="4" t="s">
        <v>86</v>
      </c>
      <c r="E30" s="4" t="s">
        <v>87</v>
      </c>
      <c r="F30" s="4">
        <v>96</v>
      </c>
    </row>
    <row r="31" spans="1:6" x14ac:dyDescent="0.45">
      <c r="A31" t="s">
        <v>88</v>
      </c>
      <c r="B31" t="str">
        <f>_xlfn.REGEXREPLACE([1]query1!B31, "https://doi.org/", "")</f>
        <v>10.1016/j.ensm.2021.05.011</v>
      </c>
      <c r="C31">
        <v>71</v>
      </c>
      <c r="D31" s="4" t="s">
        <v>89</v>
      </c>
      <c r="E31" s="4" t="s">
        <v>90</v>
      </c>
      <c r="F31" s="4">
        <v>96</v>
      </c>
    </row>
    <row r="32" spans="1:6" x14ac:dyDescent="0.45">
      <c r="A32" t="s">
        <v>91</v>
      </c>
      <c r="B32" t="str">
        <f>_xlfn.REGEXREPLACE([1]query1!B32, "https://doi.org/", "")</f>
        <v>10.1016/j.rse.2023.113580</v>
      </c>
      <c r="C32">
        <v>70</v>
      </c>
      <c r="D32" s="4" t="s">
        <v>92</v>
      </c>
      <c r="E32" s="4" t="s">
        <v>93</v>
      </c>
      <c r="F32" s="4">
        <v>92</v>
      </c>
    </row>
    <row r="33" spans="1:6" x14ac:dyDescent="0.45">
      <c r="A33" t="s">
        <v>94</v>
      </c>
      <c r="B33" t="str">
        <f>_xlfn.REGEXREPLACE([1]query1!B33, "https://doi.org/", "")</f>
        <v>10.1109/tgrs.2024.3374324</v>
      </c>
      <c r="C33">
        <v>69</v>
      </c>
      <c r="D33" s="4" t="s">
        <v>60</v>
      </c>
      <c r="E33" s="4" t="s">
        <v>95</v>
      </c>
      <c r="F33" s="4">
        <v>91</v>
      </c>
    </row>
    <row r="34" spans="1:6" x14ac:dyDescent="0.45">
      <c r="A34" t="s">
        <v>96</v>
      </c>
      <c r="B34" t="str">
        <f>_xlfn.REGEXREPLACE([1]query1!B34, "https://doi.org/", "")</f>
        <v>10.1039/d2em00047d</v>
      </c>
      <c r="C34">
        <v>69</v>
      </c>
      <c r="D34" s="4" t="s">
        <v>97</v>
      </c>
      <c r="E34" s="4" t="s">
        <v>98</v>
      </c>
      <c r="F34" s="4">
        <v>91</v>
      </c>
    </row>
    <row r="35" spans="1:6" x14ac:dyDescent="0.45">
      <c r="A35" t="s">
        <v>99</v>
      </c>
      <c r="B35" t="str">
        <f>_xlfn.REGEXREPLACE([1]query1!B35, "https://doi.org/", "")</f>
        <v>10.1175/jcli-d-19-0492.1</v>
      </c>
      <c r="C35">
        <v>66</v>
      </c>
      <c r="D35" s="4" t="s">
        <v>100</v>
      </c>
      <c r="E35" s="4" t="s">
        <v>101</v>
      </c>
      <c r="F35" s="4">
        <v>90</v>
      </c>
    </row>
    <row r="36" spans="1:6" x14ac:dyDescent="0.45">
      <c r="A36" t="s">
        <v>102</v>
      </c>
      <c r="B36" t="str">
        <f>_xlfn.REGEXREPLACE([1]query1!B36, "https://doi.org/", "")</f>
        <v>10.1016/j.fuel.2022.125684</v>
      </c>
      <c r="C36">
        <v>66</v>
      </c>
      <c r="D36" s="4" t="s">
        <v>42</v>
      </c>
      <c r="E36" s="4" t="s">
        <v>103</v>
      </c>
      <c r="F36" s="4">
        <v>90</v>
      </c>
    </row>
    <row r="37" spans="1:6" x14ac:dyDescent="0.45">
      <c r="A37" t="s">
        <v>104</v>
      </c>
      <c r="B37" t="str">
        <f>_xlfn.REGEXREPLACE([1]query1!B37, "https://doi.org/", "")</f>
        <v>10.1109/jstars.2021.3070786</v>
      </c>
      <c r="C37">
        <v>65</v>
      </c>
      <c r="D37" s="4" t="s">
        <v>105</v>
      </c>
      <c r="E37" s="4" t="s">
        <v>106</v>
      </c>
      <c r="F37" s="4">
        <v>89</v>
      </c>
    </row>
    <row r="38" spans="1:6" x14ac:dyDescent="0.45">
      <c r="A38" t="s">
        <v>107</v>
      </c>
      <c r="B38" t="str">
        <f>_xlfn.REGEXREPLACE([1]query1!B38, "https://doi.org/", "")</f>
        <v>10.1109/tpel.2020.3006956</v>
      </c>
      <c r="C38">
        <v>65</v>
      </c>
      <c r="D38" s="4" t="s">
        <v>108</v>
      </c>
      <c r="E38" s="4" t="s">
        <v>109</v>
      </c>
      <c r="F38" s="4">
        <v>85</v>
      </c>
    </row>
    <row r="39" spans="1:6" x14ac:dyDescent="0.45">
      <c r="A39" t="s">
        <v>110</v>
      </c>
      <c r="B39" t="str">
        <f>_xlfn.REGEXREPLACE([1]query1!B39, "https://doi.org/", "")</f>
        <v>10.1016/j.optmat.2021.111258</v>
      </c>
      <c r="C39">
        <v>64</v>
      </c>
      <c r="D39" s="4" t="s">
        <v>111</v>
      </c>
      <c r="E39" s="4" t="s">
        <v>112</v>
      </c>
      <c r="F39" s="4">
        <v>85</v>
      </c>
    </row>
    <row r="40" spans="1:6" x14ac:dyDescent="0.45">
      <c r="A40" t="s">
        <v>113</v>
      </c>
      <c r="B40" t="str">
        <f>_xlfn.REGEXREPLACE([1]query1!B40, "https://doi.org/", "")</f>
        <v>10.3390/s20030905</v>
      </c>
      <c r="C40">
        <v>63</v>
      </c>
      <c r="D40" s="4" t="s">
        <v>75</v>
      </c>
      <c r="E40" s="4" t="s">
        <v>114</v>
      </c>
      <c r="F40" s="4">
        <v>82</v>
      </c>
    </row>
    <row r="41" spans="1:6" x14ac:dyDescent="0.45">
      <c r="A41" t="s">
        <v>115</v>
      </c>
      <c r="B41" t="str">
        <f>_xlfn.REGEXREPLACE([1]query1!B41, "https://doi.org/", "")</f>
        <v>10.1085/jgp.202012701</v>
      </c>
      <c r="C41">
        <v>63</v>
      </c>
      <c r="D41" s="4" t="s">
        <v>78</v>
      </c>
      <c r="E41" s="4" t="s">
        <v>116</v>
      </c>
      <c r="F41" s="4">
        <v>76</v>
      </c>
    </row>
    <row r="42" spans="1:6" x14ac:dyDescent="0.45">
      <c r="A42" t="s">
        <v>117</v>
      </c>
      <c r="B42" t="str">
        <f>_xlfn.REGEXREPLACE([1]query1!B42, "https://doi.org/", "")</f>
        <v>10.1093/mnrasl/slac109</v>
      </c>
      <c r="C42">
        <v>60</v>
      </c>
      <c r="D42" s="4" t="s">
        <v>67</v>
      </c>
      <c r="E42" s="4" t="s">
        <v>118</v>
      </c>
      <c r="F42" s="4">
        <v>75</v>
      </c>
    </row>
    <row r="43" spans="1:6" x14ac:dyDescent="0.45">
      <c r="A43" t="s">
        <v>119</v>
      </c>
      <c r="B43" t="str">
        <f>_xlfn.REGEXREPLACE([1]query1!B43, "https://doi.org/", "")</f>
        <v>10.1038/s41561-021-00812-2</v>
      </c>
      <c r="C43">
        <v>59</v>
      </c>
      <c r="D43" s="4" t="s">
        <v>120</v>
      </c>
      <c r="E43" s="4" t="s">
        <v>121</v>
      </c>
      <c r="F43" s="4">
        <v>73</v>
      </c>
    </row>
    <row r="44" spans="1:6" x14ac:dyDescent="0.45">
      <c r="A44" t="s">
        <v>122</v>
      </c>
      <c r="B44" t="str">
        <f>_xlfn.REGEXREPLACE([1]query1!B44, "https://doi.org/", "")</f>
        <v>10.3390/electronics11172799</v>
      </c>
      <c r="C44">
        <v>58</v>
      </c>
      <c r="D44" s="4" t="s">
        <v>94</v>
      </c>
      <c r="E44" s="4" t="s">
        <v>123</v>
      </c>
      <c r="F44" s="4">
        <v>72</v>
      </c>
    </row>
    <row r="45" spans="1:6" x14ac:dyDescent="0.45">
      <c r="A45" t="s">
        <v>124</v>
      </c>
      <c r="B45" t="str">
        <f>_xlfn.REGEXREPLACE([1]query1!B45, "https://doi.org/", "")</f>
        <v>10.1016/j.jag.2024.103662</v>
      </c>
      <c r="C45">
        <v>58</v>
      </c>
      <c r="D45" s="4" t="s">
        <v>125</v>
      </c>
      <c r="E45" s="4" t="s">
        <v>126</v>
      </c>
      <c r="F45" s="4">
        <v>72</v>
      </c>
    </row>
    <row r="46" spans="1:6" x14ac:dyDescent="0.45">
      <c r="A46" t="s">
        <v>127</v>
      </c>
      <c r="B46" t="str">
        <f>_xlfn.REGEXREPLACE([1]query1!B46, "https://doi.org/", "")</f>
        <v>10.1039/d0dt03313h</v>
      </c>
      <c r="C46">
        <v>58</v>
      </c>
      <c r="D46" s="4" t="s">
        <v>107</v>
      </c>
      <c r="E46" s="4" t="s">
        <v>128</v>
      </c>
      <c r="F46" s="4">
        <v>71</v>
      </c>
    </row>
    <row r="47" spans="1:6" x14ac:dyDescent="0.45">
      <c r="A47" t="s">
        <v>129</v>
      </c>
      <c r="B47" t="str">
        <f>_xlfn.REGEXREPLACE([1]query1!B47, "https://doi.org/", "")</f>
        <v>10.1038/s41558-020-0786-0</v>
      </c>
      <c r="C47">
        <v>56</v>
      </c>
      <c r="D47" s="4" t="s">
        <v>130</v>
      </c>
      <c r="E47" s="4" t="s">
        <v>131</v>
      </c>
      <c r="F47" s="4">
        <v>69</v>
      </c>
    </row>
    <row r="48" spans="1:6" x14ac:dyDescent="0.45">
      <c r="A48" t="s">
        <v>132</v>
      </c>
      <c r="B48" t="str">
        <f>_xlfn.REGEXREPLACE([1]query1!B48, "https://doi.org/", "")</f>
        <v>10.1007/978-3-031-19842-7_22</v>
      </c>
      <c r="C48">
        <v>55</v>
      </c>
      <c r="D48" s="4" t="s">
        <v>133</v>
      </c>
      <c r="E48" s="4" t="s">
        <v>134</v>
      </c>
      <c r="F48" s="4">
        <v>68</v>
      </c>
    </row>
    <row r="49" spans="1:6" x14ac:dyDescent="0.45">
      <c r="A49" t="s">
        <v>135</v>
      </c>
      <c r="B49" t="str">
        <f>_xlfn.REGEXREPLACE([1]query1!B49, "https://doi.org/", "")</f>
        <v>10.1002/adma.202002534</v>
      </c>
      <c r="C49">
        <v>55</v>
      </c>
      <c r="D49" s="4" t="s">
        <v>136</v>
      </c>
      <c r="E49" s="4" t="s">
        <v>137</v>
      </c>
      <c r="F49" s="4">
        <v>67</v>
      </c>
    </row>
    <row r="50" spans="1:6" x14ac:dyDescent="0.45">
      <c r="A50" t="s">
        <v>138</v>
      </c>
      <c r="B50" t="str">
        <f>_xlfn.REGEXREPLACE([1]query1!B50, "https://doi.org/", "")</f>
        <v>10.1016/j.asr.2020.09.002</v>
      </c>
      <c r="C50">
        <v>54</v>
      </c>
      <c r="D50" s="4" t="s">
        <v>139</v>
      </c>
      <c r="E50" s="4" t="s">
        <v>140</v>
      </c>
      <c r="F50" s="4">
        <v>66</v>
      </c>
    </row>
    <row r="51" spans="1:6" x14ac:dyDescent="0.45">
      <c r="A51" t="s">
        <v>141</v>
      </c>
      <c r="B51" t="str">
        <f>_xlfn.REGEXREPLACE([1]query1!B51, "https://doi.org/", "")</f>
        <v>10.1029/2019gl086903</v>
      </c>
      <c r="C51">
        <v>54</v>
      </c>
      <c r="D51" s="4" t="s">
        <v>142</v>
      </c>
      <c r="E51" s="4" t="s">
        <v>143</v>
      </c>
      <c r="F51" s="4">
        <v>64</v>
      </c>
    </row>
    <row r="52" spans="1:6" x14ac:dyDescent="0.45">
      <c r="A52" t="s">
        <v>144</v>
      </c>
      <c r="B52" t="str">
        <f>_xlfn.REGEXREPLACE([1]query1!B52, "https://doi.org/", "")</f>
        <v>10.1038/s41612-020-0123-3</v>
      </c>
      <c r="C52">
        <v>54</v>
      </c>
      <c r="D52" s="4" t="s">
        <v>96</v>
      </c>
      <c r="E52" s="4" t="s">
        <v>145</v>
      </c>
      <c r="F52" s="4">
        <v>63</v>
      </c>
    </row>
    <row r="53" spans="1:6" x14ac:dyDescent="0.45">
      <c r="A53" t="s">
        <v>146</v>
      </c>
      <c r="B53" t="str">
        <f>_xlfn.REGEXREPLACE([1]query1!B53, "https://doi.org/", "")</f>
        <v>10.1016/j.jtbi.2022.111368</v>
      </c>
      <c r="C53">
        <v>53</v>
      </c>
      <c r="D53" s="4" t="s">
        <v>81</v>
      </c>
      <c r="E53" s="4" t="s">
        <v>147</v>
      </c>
      <c r="F53" s="4">
        <v>62</v>
      </c>
    </row>
    <row r="54" spans="1:6" x14ac:dyDescent="0.45">
      <c r="A54" t="s">
        <v>148</v>
      </c>
      <c r="B54" t="str">
        <f>_xlfn.REGEXREPLACE([1]query1!B54, "https://doi.org/", "")</f>
        <v>10.1109/tvcg.2020.3023605</v>
      </c>
      <c r="C54">
        <v>52</v>
      </c>
      <c r="D54" s="4" t="s">
        <v>124</v>
      </c>
      <c r="E54" s="4" t="s">
        <v>149</v>
      </c>
      <c r="F54" s="4">
        <v>58</v>
      </c>
    </row>
    <row r="55" spans="1:6" x14ac:dyDescent="0.45">
      <c r="A55" t="s">
        <v>150</v>
      </c>
      <c r="B55" t="str">
        <f>_xlfn.REGEXREPLACE([1]query1!B55, "https://doi.org/", "")</f>
        <v>10.15607/rss.2023.xix.052</v>
      </c>
      <c r="C55">
        <v>52</v>
      </c>
      <c r="D55" s="4" t="s">
        <v>117</v>
      </c>
      <c r="E55" s="4" t="s">
        <v>151</v>
      </c>
      <c r="F55" s="4">
        <v>58</v>
      </c>
    </row>
    <row r="56" spans="1:6" x14ac:dyDescent="0.45">
      <c r="A56" t="s">
        <v>152</v>
      </c>
      <c r="B56" t="str">
        <f>_xlfn.REGEXREPLACE([1]query1!B56, "https://doi.org/", "")</f>
        <v>10.3390/rs12122053</v>
      </c>
      <c r="C56">
        <v>51</v>
      </c>
      <c r="D56" s="4" t="s">
        <v>153</v>
      </c>
      <c r="E56" s="4" t="s">
        <v>154</v>
      </c>
      <c r="F56" s="4">
        <v>58</v>
      </c>
    </row>
    <row r="57" spans="1:6" x14ac:dyDescent="0.45">
      <c r="A57" t="s">
        <v>155</v>
      </c>
      <c r="B57" t="str">
        <f>_xlfn.REGEXREPLACE([1]query1!B57, "https://doi.org/", "")</f>
        <v>10.1016/j.isci.2021.102542</v>
      </c>
      <c r="C57">
        <v>51</v>
      </c>
      <c r="D57" s="4" t="s">
        <v>156</v>
      </c>
      <c r="E57" s="4" t="s">
        <v>157</v>
      </c>
      <c r="F57" s="4">
        <v>57</v>
      </c>
    </row>
    <row r="58" spans="1:6" x14ac:dyDescent="0.45">
      <c r="A58" t="s">
        <v>158</v>
      </c>
      <c r="B58" t="str">
        <f>_xlfn.REGEXREPLACE([1]query1!B58, "https://doi.org/", "")</f>
        <v>10.1016/j.atmosres.2020.105308</v>
      </c>
      <c r="C58">
        <v>49</v>
      </c>
      <c r="D58" s="4" t="s">
        <v>110</v>
      </c>
      <c r="E58" s="4" t="s">
        <v>159</v>
      </c>
      <c r="F58" s="4">
        <v>56</v>
      </c>
    </row>
    <row r="59" spans="1:6" x14ac:dyDescent="0.45">
      <c r="A59" t="s">
        <v>160</v>
      </c>
      <c r="B59" t="str">
        <f>_xlfn.REGEXREPLACE([1]query1!B59, "https://doi.org/", "")</f>
        <v>10.1021/acssensors.4c01717</v>
      </c>
      <c r="C59">
        <v>49</v>
      </c>
      <c r="D59" s="4" t="s">
        <v>161</v>
      </c>
      <c r="E59" s="4" t="s">
        <v>162</v>
      </c>
      <c r="F59" s="4">
        <v>54</v>
      </c>
    </row>
    <row r="60" spans="1:6" x14ac:dyDescent="0.45">
      <c r="A60" t="s">
        <v>163</v>
      </c>
      <c r="B60" t="str">
        <f>_xlfn.REGEXREPLACE([1]query1!B60, "https://doi.org/", "")</f>
        <v>10.1016/j.jag.2023.103332</v>
      </c>
      <c r="C60">
        <v>48</v>
      </c>
      <c r="D60" s="4" t="s">
        <v>164</v>
      </c>
      <c r="E60" s="4" t="s">
        <v>165</v>
      </c>
      <c r="F60" s="4">
        <v>54</v>
      </c>
    </row>
    <row r="61" spans="1:6" x14ac:dyDescent="0.45">
      <c r="A61" t="s">
        <v>166</v>
      </c>
      <c r="B61" t="str">
        <f>_xlfn.REGEXREPLACE([1]query1!B61, "https://doi.org/", "")</f>
        <v>10.3390/su132313384</v>
      </c>
      <c r="C61">
        <v>47</v>
      </c>
      <c r="D61" s="4" t="s">
        <v>135</v>
      </c>
      <c r="E61" s="4" t="s">
        <v>167</v>
      </c>
      <c r="F61" s="4">
        <v>54</v>
      </c>
    </row>
    <row r="62" spans="1:6" x14ac:dyDescent="0.45">
      <c r="A62" t="s">
        <v>168</v>
      </c>
      <c r="B62" t="str">
        <f>_xlfn.REGEXREPLACE([1]query1!B62, "https://doi.org/", "")</f>
        <v>10.1038/s41467-021-25543-1</v>
      </c>
      <c r="C62">
        <v>46</v>
      </c>
      <c r="D62" s="4" t="s">
        <v>169</v>
      </c>
      <c r="E62" s="4" t="s">
        <v>170</v>
      </c>
      <c r="F62" s="4">
        <v>54</v>
      </c>
    </row>
    <row r="63" spans="1:6" x14ac:dyDescent="0.45">
      <c r="A63" t="s">
        <v>171</v>
      </c>
      <c r="B63" t="str">
        <f>_xlfn.REGEXREPLACE([1]query1!B63, "https://doi.org/", "")</f>
        <v>10.3389/fphys.2020.00813</v>
      </c>
      <c r="C63">
        <v>46</v>
      </c>
      <c r="D63" s="4" t="s">
        <v>172</v>
      </c>
      <c r="E63" s="4" t="s">
        <v>173</v>
      </c>
      <c r="F63" s="4">
        <v>53</v>
      </c>
    </row>
    <row r="64" spans="1:6" x14ac:dyDescent="0.45">
      <c r="A64" t="s">
        <v>174</v>
      </c>
      <c r="B64" t="str">
        <f>_xlfn.REGEXREPLACE([1]query1!B64, "https://doi.org/", "")</f>
        <v>10.1145/3450626.3459817</v>
      </c>
      <c r="C64">
        <v>45</v>
      </c>
      <c r="D64" s="4" t="s">
        <v>122</v>
      </c>
      <c r="E64" s="4" t="s">
        <v>175</v>
      </c>
      <c r="F64" s="4">
        <v>52</v>
      </c>
    </row>
    <row r="65" spans="1:6" x14ac:dyDescent="0.45">
      <c r="A65" t="s">
        <v>176</v>
      </c>
      <c r="B65" t="str">
        <f>_xlfn.REGEXREPLACE([1]query1!B65, "https://doi.org/", "")</f>
        <v>10.1109/jas.2020.1003432</v>
      </c>
      <c r="C65">
        <v>44</v>
      </c>
      <c r="D65" s="4" t="s">
        <v>177</v>
      </c>
      <c r="E65" s="4" t="s">
        <v>178</v>
      </c>
      <c r="F65" s="4">
        <v>52</v>
      </c>
    </row>
    <row r="66" spans="1:6" x14ac:dyDescent="0.45">
      <c r="A66" t="s">
        <v>179</v>
      </c>
      <c r="B66" t="str">
        <f>_xlfn.REGEXREPLACE([1]query1!B66, "https://doi.org/", "")</f>
        <v>10.1038/s41528-022-00139-x</v>
      </c>
      <c r="C66">
        <v>44</v>
      </c>
      <c r="D66" s="4" t="s">
        <v>138</v>
      </c>
      <c r="E66" s="4" t="s">
        <v>180</v>
      </c>
      <c r="F66" s="4">
        <v>52</v>
      </c>
    </row>
    <row r="67" spans="1:6" x14ac:dyDescent="0.45">
      <c r="A67" t="s">
        <v>181</v>
      </c>
      <c r="B67" t="str">
        <f>_xlfn.REGEXREPLACE([1]query1!B67, "https://doi.org/", "")</f>
        <v>10.1016/j.carbon.2020.03.038</v>
      </c>
      <c r="C67">
        <v>43</v>
      </c>
      <c r="D67" s="4" t="s">
        <v>91</v>
      </c>
      <c r="E67" s="4" t="s">
        <v>182</v>
      </c>
      <c r="F67" s="4">
        <v>51</v>
      </c>
    </row>
    <row r="68" spans="1:6" x14ac:dyDescent="0.45">
      <c r="A68" t="s">
        <v>183</v>
      </c>
      <c r="B68" t="str">
        <f>_xlfn.REGEXREPLACE([1]query1!B68, "https://doi.org/", "")</f>
        <v>10.1103/physrevd.105.023513</v>
      </c>
      <c r="C68">
        <v>43</v>
      </c>
      <c r="D68" s="4" t="s">
        <v>104</v>
      </c>
      <c r="E68" s="4" t="s">
        <v>184</v>
      </c>
      <c r="F68" s="4">
        <v>51</v>
      </c>
    </row>
    <row r="69" spans="1:6" x14ac:dyDescent="0.45">
      <c r="A69" t="s">
        <v>185</v>
      </c>
      <c r="B69" t="str">
        <f>_xlfn.REGEXREPLACE([1]query1!B69, "https://doi.org/", "")</f>
        <v>10.1016/j.jbiomech.2023.111657</v>
      </c>
      <c r="C69">
        <v>42</v>
      </c>
      <c r="D69" s="4" t="s">
        <v>186</v>
      </c>
      <c r="E69" s="4" t="s">
        <v>187</v>
      </c>
      <c r="F69" s="4">
        <v>51</v>
      </c>
    </row>
    <row r="70" spans="1:6" x14ac:dyDescent="0.45">
      <c r="A70" t="s">
        <v>188</v>
      </c>
      <c r="B70" t="str">
        <f>_xlfn.REGEXREPLACE([1]query1!B70, "https://doi.org/", "")</f>
        <v>10.1080/00031305.2020.1717621</v>
      </c>
      <c r="C70">
        <v>42</v>
      </c>
      <c r="D70" s="4" t="s">
        <v>189</v>
      </c>
      <c r="E70" s="4" t="s">
        <v>190</v>
      </c>
      <c r="F70" s="4">
        <v>50</v>
      </c>
    </row>
    <row r="71" spans="1:6" x14ac:dyDescent="0.45">
      <c r="A71" t="s">
        <v>191</v>
      </c>
      <c r="B71" t="str">
        <f>_xlfn.REGEXREPLACE([1]query1!B71, "https://doi.org/", "")</f>
        <v>10.1109/lra.2021.3129136</v>
      </c>
      <c r="C71">
        <v>42</v>
      </c>
      <c r="D71" s="4" t="s">
        <v>192</v>
      </c>
      <c r="E71" s="4" t="s">
        <v>193</v>
      </c>
      <c r="F71" s="4">
        <v>49</v>
      </c>
    </row>
    <row r="72" spans="1:6" x14ac:dyDescent="0.45">
      <c r="A72" t="s">
        <v>194</v>
      </c>
      <c r="B72" t="str">
        <f>_xlfn.REGEXREPLACE([1]query1!B72, "https://doi.org/", "")</f>
        <v>10.1016/j.jag.2023.103333</v>
      </c>
      <c r="C72">
        <v>41</v>
      </c>
      <c r="D72" s="4" t="s">
        <v>194</v>
      </c>
      <c r="E72" s="4" t="s">
        <v>195</v>
      </c>
      <c r="F72" s="4">
        <v>48</v>
      </c>
    </row>
    <row r="73" spans="1:6" x14ac:dyDescent="0.45">
      <c r="A73" t="s">
        <v>196</v>
      </c>
      <c r="B73" t="str">
        <f>_xlfn.REGEXREPLACE([1]query1!B73, "https://doi.org/", "")</f>
        <v>10.1093/mnras/stac3452</v>
      </c>
      <c r="C73">
        <v>41</v>
      </c>
      <c r="D73" s="4" t="s">
        <v>158</v>
      </c>
      <c r="E73" s="4" t="s">
        <v>197</v>
      </c>
      <c r="F73" s="4">
        <v>48</v>
      </c>
    </row>
    <row r="74" spans="1:6" x14ac:dyDescent="0.45">
      <c r="A74" t="s">
        <v>198</v>
      </c>
      <c r="B74" t="str">
        <f>_xlfn.REGEXREPLACE([1]query1!B74, "https://doi.org/", "")</f>
        <v>10.1016/j.jpowsour.2021.230446</v>
      </c>
      <c r="C74">
        <v>41</v>
      </c>
      <c r="D74" s="4" t="s">
        <v>199</v>
      </c>
      <c r="E74" s="4" t="s">
        <v>200</v>
      </c>
      <c r="F74" s="4">
        <v>48</v>
      </c>
    </row>
    <row r="75" spans="1:6" x14ac:dyDescent="0.45">
      <c r="A75" t="s">
        <v>201</v>
      </c>
      <c r="B75" t="str">
        <f>_xlfn.REGEXREPLACE([1]query1!B75, "https://doi.org/", "")</f>
        <v>10.1093/mnras/stab988</v>
      </c>
      <c r="C75">
        <v>40</v>
      </c>
      <c r="D75" s="4" t="s">
        <v>202</v>
      </c>
      <c r="E75" s="4" t="s">
        <v>203</v>
      </c>
      <c r="F75" s="4">
        <v>47</v>
      </c>
    </row>
    <row r="76" spans="1:6" x14ac:dyDescent="0.45">
      <c r="A76" t="s">
        <v>204</v>
      </c>
      <c r="B76" t="str">
        <f>_xlfn.REGEXREPLACE([1]query1!B76, "https://doi.org/", "")</f>
        <v>10.1109/tpel.2022.3140416</v>
      </c>
      <c r="C76">
        <v>40</v>
      </c>
      <c r="D76" s="4" t="s">
        <v>205</v>
      </c>
      <c r="E76" s="4" t="s">
        <v>206</v>
      </c>
      <c r="F76" s="4">
        <v>46</v>
      </c>
    </row>
    <row r="77" spans="1:6" x14ac:dyDescent="0.45">
      <c r="A77" t="s">
        <v>207</v>
      </c>
      <c r="B77" t="str">
        <f>_xlfn.REGEXREPLACE([1]query1!B77, "https://doi.org/", "")</f>
        <v>10.1145/3474085.3475590</v>
      </c>
      <c r="C77">
        <v>40</v>
      </c>
      <c r="D77" s="4" t="s">
        <v>163</v>
      </c>
      <c r="E77" s="4" t="s">
        <v>208</v>
      </c>
      <c r="F77" s="4">
        <v>45</v>
      </c>
    </row>
    <row r="78" spans="1:6" x14ac:dyDescent="0.45">
      <c r="A78" t="s">
        <v>209</v>
      </c>
      <c r="B78" t="str">
        <f>_xlfn.REGEXREPLACE([1]query1!B78, "https://doi.org/", "")</f>
        <v>10.1109/tmm.2020.2973855</v>
      </c>
      <c r="C78">
        <v>40</v>
      </c>
      <c r="D78" s="4" t="s">
        <v>210</v>
      </c>
      <c r="E78" s="4" t="s">
        <v>211</v>
      </c>
      <c r="F78" s="4">
        <v>45</v>
      </c>
    </row>
    <row r="79" spans="1:6" x14ac:dyDescent="0.45">
      <c r="A79" t="s">
        <v>212</v>
      </c>
      <c r="B79" t="str">
        <f>_xlfn.REGEXREPLACE([1]query1!B79, "https://doi.org/", "")</f>
        <v>10.1109/lra.2023.3292004</v>
      </c>
      <c r="C79">
        <v>39</v>
      </c>
      <c r="D79" s="4" t="s">
        <v>174</v>
      </c>
      <c r="E79" s="4" t="s">
        <v>213</v>
      </c>
      <c r="F79" s="4">
        <v>45</v>
      </c>
    </row>
    <row r="80" spans="1:6" x14ac:dyDescent="0.45">
      <c r="A80" t="s">
        <v>214</v>
      </c>
      <c r="B80" t="str">
        <f>_xlfn.REGEXREPLACE([1]query1!B80, "https://doi.org/", "")</f>
        <v>10.1109/jiot.2022.3150418</v>
      </c>
      <c r="C80">
        <v>38</v>
      </c>
      <c r="D80" s="4" t="s">
        <v>215</v>
      </c>
      <c r="E80" s="4" t="s">
        <v>216</v>
      </c>
      <c r="F80" s="4">
        <v>45</v>
      </c>
    </row>
    <row r="81" spans="1:6" x14ac:dyDescent="0.45">
      <c r="A81" t="s">
        <v>217</v>
      </c>
      <c r="B81" t="str">
        <f>_xlfn.REGEXREPLACE([1]query1!B81, "https://doi.org/", "")</f>
        <v>10.1109/tie.2022.3153801</v>
      </c>
      <c r="C81">
        <v>38</v>
      </c>
      <c r="D81" s="4" t="s">
        <v>168</v>
      </c>
      <c r="E81" s="4" t="s">
        <v>218</v>
      </c>
      <c r="F81" s="4">
        <v>44</v>
      </c>
    </row>
    <row r="82" spans="1:6" x14ac:dyDescent="0.45">
      <c r="A82" t="s">
        <v>219</v>
      </c>
      <c r="B82" t="str">
        <f>_xlfn.REGEXREPLACE([1]query1!B82, "https://doi.org/", "")</f>
        <v>10.1016/j.trd.2021.102724</v>
      </c>
      <c r="C82">
        <v>37</v>
      </c>
      <c r="D82" s="4" t="s">
        <v>220</v>
      </c>
      <c r="E82" s="4" t="s">
        <v>221</v>
      </c>
      <c r="F82" s="4">
        <v>44</v>
      </c>
    </row>
    <row r="83" spans="1:6" x14ac:dyDescent="0.45">
      <c r="A83" t="s">
        <v>222</v>
      </c>
      <c r="B83" t="str">
        <f>_xlfn.REGEXREPLACE([1]query1!B83, "https://doi.org/", "")</f>
        <v>10.1016/j.engfailanal.2022.106165</v>
      </c>
      <c r="C83">
        <v>37</v>
      </c>
      <c r="D83" s="4" t="s">
        <v>85</v>
      </c>
      <c r="E83" s="4" t="s">
        <v>223</v>
      </c>
      <c r="F83" s="4">
        <v>44</v>
      </c>
    </row>
    <row r="84" spans="1:6" x14ac:dyDescent="0.45">
      <c r="A84" t="s">
        <v>224</v>
      </c>
      <c r="B84" t="str">
        <f>_xlfn.REGEXREPLACE([1]query1!B84, "https://doi.org/", "")</f>
        <v>10.1109/jsac.2020.3018795</v>
      </c>
      <c r="C84">
        <v>37</v>
      </c>
      <c r="D84" s="4" t="s">
        <v>225</v>
      </c>
      <c r="E84" s="4" t="s">
        <v>226</v>
      </c>
      <c r="F84" s="4">
        <v>44</v>
      </c>
    </row>
    <row r="85" spans="1:6" x14ac:dyDescent="0.45">
      <c r="A85" t="s">
        <v>227</v>
      </c>
      <c r="B85" t="str">
        <f>_xlfn.REGEXREPLACE([1]query1!B85, "https://doi.org/", "")</f>
        <v>10.1088/1367-2630/ab9fbe</v>
      </c>
      <c r="C85">
        <v>36</v>
      </c>
      <c r="D85" s="4" t="s">
        <v>228</v>
      </c>
      <c r="E85" s="4" t="s">
        <v>229</v>
      </c>
      <c r="F85" s="4">
        <v>44</v>
      </c>
    </row>
    <row r="86" spans="1:6" x14ac:dyDescent="0.45">
      <c r="A86" t="s">
        <v>230</v>
      </c>
      <c r="B86" t="str">
        <f>_xlfn.REGEXREPLACE([1]query1!B86, "https://doi.org/", "")</f>
        <v>10.1007/s43154-022-00083-8</v>
      </c>
      <c r="C86">
        <v>35</v>
      </c>
      <c r="D86" s="4" t="s">
        <v>160</v>
      </c>
      <c r="E86" s="4" t="s">
        <v>231</v>
      </c>
      <c r="F86" s="4">
        <v>43</v>
      </c>
    </row>
    <row r="87" spans="1:6" x14ac:dyDescent="0.45">
      <c r="A87" t="s">
        <v>232</v>
      </c>
      <c r="B87" t="str">
        <f>_xlfn.REGEXREPLACE([1]query1!B87, "https://doi.org/", "")</f>
        <v>10.1080/07055900.2021.2011103</v>
      </c>
      <c r="C87">
        <v>35</v>
      </c>
      <c r="D87" s="4" t="s">
        <v>146</v>
      </c>
      <c r="E87" s="4" t="s">
        <v>233</v>
      </c>
      <c r="F87" s="4">
        <v>43</v>
      </c>
    </row>
    <row r="88" spans="1:6" x14ac:dyDescent="0.45">
      <c r="A88" t="s">
        <v>234</v>
      </c>
      <c r="B88" t="str">
        <f>_xlfn.REGEXREPLACE([1]query1!B88, "https://doi.org/", "")</f>
        <v>10.1038/s41396-020-00867-w</v>
      </c>
      <c r="C88">
        <v>34</v>
      </c>
      <c r="D88" s="4" t="s">
        <v>155</v>
      </c>
      <c r="E88" s="4" t="s">
        <v>235</v>
      </c>
      <c r="F88" s="4">
        <v>43</v>
      </c>
    </row>
    <row r="89" spans="1:6" x14ac:dyDescent="0.45">
      <c r="A89" t="s">
        <v>236</v>
      </c>
      <c r="B89" t="str">
        <f>_xlfn.REGEXREPLACE([1]query1!B89, "https://doi.org/", "")</f>
        <v>10.1109/tpel.2023.3347900</v>
      </c>
      <c r="C89">
        <v>34</v>
      </c>
      <c r="D89" s="4" t="s">
        <v>209</v>
      </c>
      <c r="E89" s="4" t="s">
        <v>237</v>
      </c>
      <c r="F89" s="4">
        <v>43</v>
      </c>
    </row>
    <row r="90" spans="1:6" x14ac:dyDescent="0.45">
      <c r="A90" t="s">
        <v>238</v>
      </c>
      <c r="B90" t="str">
        <f>_xlfn.REGEXREPLACE([1]query1!B90, "https://doi.org/", "")</f>
        <v>10.1016/j.jpowsour.2021.230431</v>
      </c>
      <c r="C90">
        <v>34</v>
      </c>
      <c r="D90" s="4" t="s">
        <v>214</v>
      </c>
      <c r="E90" s="4" t="s">
        <v>239</v>
      </c>
      <c r="F90" s="4">
        <v>42</v>
      </c>
    </row>
    <row r="91" spans="1:6" x14ac:dyDescent="0.45">
      <c r="A91" t="s">
        <v>240</v>
      </c>
      <c r="B91" t="str">
        <f>_xlfn.REGEXREPLACE([1]query1!B91, "https://doi.org/", "")</f>
        <v>10.1109/tits.2021.3099825</v>
      </c>
      <c r="C91">
        <v>32</v>
      </c>
      <c r="D91" s="4" t="s">
        <v>241</v>
      </c>
      <c r="E91" s="4" t="s">
        <v>242</v>
      </c>
      <c r="F91" s="4">
        <v>42</v>
      </c>
    </row>
    <row r="92" spans="1:6" x14ac:dyDescent="0.45">
      <c r="A92" t="s">
        <v>243</v>
      </c>
      <c r="B92" t="str">
        <f>_xlfn.REGEXREPLACE([1]query1!B92, "https://doi.org/", "")</f>
        <v>10.1016/j.compgeo.2020.103534</v>
      </c>
      <c r="C92">
        <v>32</v>
      </c>
      <c r="D92" s="4" t="s">
        <v>244</v>
      </c>
      <c r="E92" s="4" t="s">
        <v>245</v>
      </c>
      <c r="F92" s="4">
        <v>41</v>
      </c>
    </row>
    <row r="93" spans="1:6" x14ac:dyDescent="0.45">
      <c r="A93" t="s">
        <v>246</v>
      </c>
      <c r="B93" t="str">
        <f>_xlfn.REGEXREPLACE([1]query1!B93, "https://doi.org/", "")</f>
        <v>10.3389/fphy.2023.1108357</v>
      </c>
      <c r="C93">
        <v>31</v>
      </c>
      <c r="D93" s="4" t="s">
        <v>247</v>
      </c>
      <c r="E93" s="4" t="s">
        <v>248</v>
      </c>
      <c r="F93" s="4">
        <v>41</v>
      </c>
    </row>
    <row r="94" spans="1:6" x14ac:dyDescent="0.45">
      <c r="A94" t="s">
        <v>249</v>
      </c>
      <c r="B94" t="str">
        <f>_xlfn.REGEXREPLACE([1]query1!B94, "https://doi.org/", "")</f>
        <v>10.1080/02664763.2023.2272223</v>
      </c>
      <c r="C94">
        <v>31</v>
      </c>
      <c r="D94" s="4" t="s">
        <v>250</v>
      </c>
      <c r="E94" s="4"/>
      <c r="F94" s="4">
        <v>41</v>
      </c>
    </row>
    <row r="95" spans="1:6" x14ac:dyDescent="0.45">
      <c r="A95" t="s">
        <v>251</v>
      </c>
      <c r="B95" t="str">
        <f>_xlfn.REGEXREPLACE([1]query1!B95, "https://doi.org/", "")</f>
        <v>10.1098/rsta.2020.0362</v>
      </c>
      <c r="C95">
        <v>30</v>
      </c>
      <c r="D95" s="4" t="s">
        <v>252</v>
      </c>
      <c r="E95" s="4" t="s">
        <v>253</v>
      </c>
      <c r="F95" s="4">
        <v>40</v>
      </c>
    </row>
    <row r="96" spans="1:6" x14ac:dyDescent="0.45">
      <c r="A96" t="s">
        <v>254</v>
      </c>
      <c r="B96" t="str">
        <f>_xlfn.REGEXREPLACE([1]query1!B96, "https://doi.org/", "")</f>
        <v>10.1103/prxquantum.2.030317</v>
      </c>
      <c r="C96">
        <v>30</v>
      </c>
      <c r="D96" s="4" t="s">
        <v>179</v>
      </c>
      <c r="E96" s="4" t="s">
        <v>255</v>
      </c>
      <c r="F96" s="4">
        <v>39</v>
      </c>
    </row>
    <row r="97" spans="1:6" x14ac:dyDescent="0.45">
      <c r="A97" t="s">
        <v>256</v>
      </c>
      <c r="B97" t="str">
        <f>_xlfn.REGEXREPLACE([1]query1!B97, "https://doi.org/", "")</f>
        <v>10.3390/rs13081472</v>
      </c>
      <c r="C97">
        <v>30</v>
      </c>
      <c r="D97" s="4" t="s">
        <v>222</v>
      </c>
      <c r="E97" s="4" t="s">
        <v>257</v>
      </c>
      <c r="F97" s="4">
        <v>39</v>
      </c>
    </row>
    <row r="98" spans="1:6" x14ac:dyDescent="0.45">
      <c r="A98" t="s">
        <v>258</v>
      </c>
      <c r="B98" t="str">
        <f>_xlfn.REGEXREPLACE([1]query1!B98, "https://doi.org/", "")</f>
        <v>10.1016/j.engappai.2020.104089</v>
      </c>
      <c r="C98">
        <v>30</v>
      </c>
      <c r="D98" s="4" t="s">
        <v>259</v>
      </c>
      <c r="E98" s="4" t="s">
        <v>260</v>
      </c>
      <c r="F98" s="4">
        <v>39</v>
      </c>
    </row>
    <row r="99" spans="1:6" x14ac:dyDescent="0.45">
      <c r="A99" t="s">
        <v>261</v>
      </c>
      <c r="B99" t="str">
        <f>_xlfn.REGEXREPLACE([1]query1!B99, "https://doi.org/", "")</f>
        <v>10.1109/icra48506.2021.9560790</v>
      </c>
      <c r="C99">
        <v>30</v>
      </c>
      <c r="D99" s="4" t="s">
        <v>262</v>
      </c>
      <c r="E99" s="4" t="s">
        <v>263</v>
      </c>
      <c r="F99" s="4">
        <v>39</v>
      </c>
    </row>
    <row r="100" spans="1:6" x14ac:dyDescent="0.45">
      <c r="A100" t="s">
        <v>264</v>
      </c>
      <c r="B100" t="str">
        <f>_xlfn.REGEXREPLACE([1]query1!B100, "https://doi.org/", "")</f>
        <v>10.1016/j.enconman.2021.114805</v>
      </c>
      <c r="C100">
        <v>29</v>
      </c>
      <c r="D100" s="4" t="s">
        <v>265</v>
      </c>
      <c r="E100" s="4" t="s">
        <v>266</v>
      </c>
      <c r="F100" s="4">
        <v>39</v>
      </c>
    </row>
    <row r="101" spans="1:6" x14ac:dyDescent="0.45">
      <c r="A101" t="s">
        <v>267</v>
      </c>
      <c r="B101" t="str">
        <f>_xlfn.REGEXREPLACE([1]query1!B101, "https://doi.org/", "")</f>
        <v>10.1175/jcli-d-19-0011.1</v>
      </c>
      <c r="C101">
        <v>29</v>
      </c>
      <c r="D101" s="4" t="s">
        <v>243</v>
      </c>
      <c r="E101" s="4" t="s">
        <v>268</v>
      </c>
      <c r="F101" s="4">
        <v>39</v>
      </c>
    </row>
    <row r="102" spans="1:6" x14ac:dyDescent="0.45">
      <c r="A102" t="s">
        <v>269</v>
      </c>
      <c r="B102" t="str">
        <f>_xlfn.REGEXREPLACE([1]query1!B102, "https://doi.org/", "")</f>
        <v>10.1109/twc.2023.3326245</v>
      </c>
      <c r="C102">
        <v>29</v>
      </c>
      <c r="D102" s="4" t="s">
        <v>217</v>
      </c>
      <c r="E102" s="4" t="s">
        <v>270</v>
      </c>
      <c r="F102" s="4">
        <v>38</v>
      </c>
    </row>
    <row r="103" spans="1:6" x14ac:dyDescent="0.45">
      <c r="A103" t="s">
        <v>271</v>
      </c>
      <c r="B103" t="str">
        <f>_xlfn.REGEXREPLACE([1]query1!B103, "https://doi.org/", "")</f>
        <v>10.1109/jsac.2023.3322818</v>
      </c>
      <c r="C103">
        <v>29</v>
      </c>
      <c r="D103" s="4" t="s">
        <v>181</v>
      </c>
      <c r="E103" s="4" t="s">
        <v>272</v>
      </c>
      <c r="F103" s="4">
        <v>38</v>
      </c>
    </row>
    <row r="104" spans="1:6" x14ac:dyDescent="0.45">
      <c r="A104" t="s">
        <v>273</v>
      </c>
      <c r="B104" t="str">
        <f>_xlfn.REGEXREPLACE([1]query1!B104, "https://doi.org/", "")</f>
        <v>10.1093/mnras/stac283</v>
      </c>
      <c r="C104">
        <v>28</v>
      </c>
      <c r="D104" s="4" t="s">
        <v>171</v>
      </c>
      <c r="E104" s="4" t="s">
        <v>274</v>
      </c>
      <c r="F104" s="4">
        <v>37</v>
      </c>
    </row>
    <row r="105" spans="1:6" x14ac:dyDescent="0.45">
      <c r="A105" t="s">
        <v>275</v>
      </c>
      <c r="B105" t="str">
        <f>_xlfn.REGEXREPLACE([1]query1!B105, "https://doi.org/", "")</f>
        <v>10.1088/1367-2630/aca25e</v>
      </c>
      <c r="C105">
        <v>28</v>
      </c>
      <c r="D105" s="4" t="s">
        <v>276</v>
      </c>
      <c r="E105" s="4" t="s">
        <v>277</v>
      </c>
      <c r="F105" s="4">
        <v>37</v>
      </c>
    </row>
    <row r="106" spans="1:6" x14ac:dyDescent="0.45">
      <c r="A106" t="s">
        <v>278</v>
      </c>
      <c r="B106" t="str">
        <f>_xlfn.REGEXREPLACE([1]query1!B106, "https://doi.org/", "")</f>
        <v>10.1016/j.jeurceramsoc.2023.04.017</v>
      </c>
      <c r="C106">
        <v>28</v>
      </c>
      <c r="D106" s="4" t="s">
        <v>279</v>
      </c>
      <c r="E106" s="4" t="s">
        <v>280</v>
      </c>
      <c r="F106" s="4">
        <v>37</v>
      </c>
    </row>
    <row r="107" spans="1:6" x14ac:dyDescent="0.45">
      <c r="A107" t="s">
        <v>281</v>
      </c>
      <c r="B107" t="str">
        <f>_xlfn.REGEXREPLACE([1]query1!B107, "https://doi.org/", "")</f>
        <v>10.1109/tmi.2021.3117276</v>
      </c>
      <c r="C107">
        <v>28</v>
      </c>
      <c r="D107" s="4" t="s">
        <v>224</v>
      </c>
      <c r="E107" s="4" t="s">
        <v>282</v>
      </c>
      <c r="F107" s="4">
        <v>36</v>
      </c>
    </row>
    <row r="108" spans="1:6" x14ac:dyDescent="0.45">
      <c r="A108" t="s">
        <v>283</v>
      </c>
      <c r="B108" t="str">
        <f>_xlfn.REGEXREPLACE([1]query1!B108, "https://doi.org/", "")</f>
        <v>10.1007/s10346-020-01552-x</v>
      </c>
      <c r="C108">
        <v>27</v>
      </c>
      <c r="D108" s="4" t="s">
        <v>284</v>
      </c>
      <c r="E108" s="4" t="s">
        <v>285</v>
      </c>
      <c r="F108" s="4">
        <v>36</v>
      </c>
    </row>
    <row r="109" spans="1:6" x14ac:dyDescent="0.45">
      <c r="A109" t="s">
        <v>286</v>
      </c>
      <c r="B109" t="str">
        <f>_xlfn.REGEXREPLACE([1]query1!B109, "https://doi.org/", "")</f>
        <v>10.1016/j.jpowsour.2023.233820</v>
      </c>
      <c r="C109">
        <v>27</v>
      </c>
      <c r="D109" s="4" t="s">
        <v>287</v>
      </c>
      <c r="E109" s="4" t="s">
        <v>288</v>
      </c>
      <c r="F109" s="4">
        <v>36</v>
      </c>
    </row>
    <row r="110" spans="1:6" x14ac:dyDescent="0.45">
      <c r="A110" t="s">
        <v>289</v>
      </c>
      <c r="B110" t="str">
        <f>_xlfn.REGEXREPLACE([1]query1!B110, "https://doi.org/", "")</f>
        <v>10.1109/tsg.2024.3424150</v>
      </c>
      <c r="C110">
        <v>27</v>
      </c>
      <c r="D110" s="4" t="s">
        <v>290</v>
      </c>
      <c r="E110" s="4" t="s">
        <v>291</v>
      </c>
      <c r="F110" s="4">
        <v>36</v>
      </c>
    </row>
    <row r="111" spans="1:6" x14ac:dyDescent="0.45">
      <c r="A111" t="s">
        <v>292</v>
      </c>
      <c r="B111" t="str">
        <f>_xlfn.REGEXREPLACE([1]query1!B111, "https://doi.org/", "")</f>
        <v>10.1103/physrevlett.127.208101</v>
      </c>
      <c r="C111">
        <v>27</v>
      </c>
      <c r="D111" s="4" t="s">
        <v>212</v>
      </c>
      <c r="E111" s="4" t="s">
        <v>293</v>
      </c>
      <c r="F111" s="4">
        <v>35</v>
      </c>
    </row>
    <row r="112" spans="1:6" x14ac:dyDescent="0.45">
      <c r="A112" t="s">
        <v>294</v>
      </c>
      <c r="B112" t="str">
        <f>_xlfn.REGEXREPLACE([1]query1!B112, "https://doi.org/", "")</f>
        <v>10.3389/fphys.2020.538522</v>
      </c>
      <c r="C112">
        <v>27</v>
      </c>
      <c r="D112" s="4" t="s">
        <v>295</v>
      </c>
      <c r="E112" s="4" t="s">
        <v>296</v>
      </c>
      <c r="F112" s="4">
        <v>35</v>
      </c>
    </row>
    <row r="113" spans="1:6" x14ac:dyDescent="0.45">
      <c r="A113" t="s">
        <v>297</v>
      </c>
      <c r="B113" t="str">
        <f>_xlfn.REGEXREPLACE([1]query1!B113, "https://doi.org/", "")</f>
        <v>10.5194/tc-16-1497-2022</v>
      </c>
      <c r="C113">
        <v>26</v>
      </c>
      <c r="D113" s="4" t="s">
        <v>298</v>
      </c>
      <c r="E113" s="4" t="s">
        <v>299</v>
      </c>
      <c r="F113" s="4">
        <v>35</v>
      </c>
    </row>
    <row r="114" spans="1:6" x14ac:dyDescent="0.45">
      <c r="A114" t="s">
        <v>300</v>
      </c>
      <c r="B114" t="str">
        <f>_xlfn.REGEXREPLACE([1]query1!B114, "https://doi.org/", "")</f>
        <v>10.1109/icra48506.2021.9561115</v>
      </c>
      <c r="C114">
        <v>26</v>
      </c>
      <c r="D114" s="4" t="s">
        <v>219</v>
      </c>
      <c r="E114" s="4" t="s">
        <v>301</v>
      </c>
      <c r="F114" s="4">
        <v>34</v>
      </c>
    </row>
    <row r="115" spans="1:6" x14ac:dyDescent="0.45">
      <c r="A115" t="s">
        <v>302</v>
      </c>
      <c r="B115" t="str">
        <f>_xlfn.REGEXREPLACE([1]query1!B115, "https://doi.org/", "")</f>
        <v>10.1016/j.cor.2023.106388</v>
      </c>
      <c r="C115">
        <v>26</v>
      </c>
      <c r="D115" s="4" t="s">
        <v>303</v>
      </c>
      <c r="E115" s="4" t="s">
        <v>304</v>
      </c>
      <c r="F115" s="4">
        <v>34</v>
      </c>
    </row>
    <row r="116" spans="1:6" x14ac:dyDescent="0.45">
      <c r="A116" t="s">
        <v>305</v>
      </c>
      <c r="B116" t="str">
        <f>_xlfn.REGEXREPLACE([1]query1!B116, "https://doi.org/", "")</f>
        <v>10.1111/1758-5899.12788</v>
      </c>
      <c r="C116">
        <v>26</v>
      </c>
      <c r="D116" s="4" t="s">
        <v>306</v>
      </c>
      <c r="E116" s="4" t="s">
        <v>307</v>
      </c>
      <c r="F116" s="4">
        <v>34</v>
      </c>
    </row>
    <row r="117" spans="1:6" x14ac:dyDescent="0.45">
      <c r="A117" t="s">
        <v>308</v>
      </c>
      <c r="B117" t="str">
        <f>_xlfn.REGEXREPLACE([1]query1!B117, "https://doi.org/", "")</f>
        <v>10.1038/s41467-023-37867-1</v>
      </c>
      <c r="C117">
        <v>26</v>
      </c>
      <c r="D117" s="4" t="s">
        <v>309</v>
      </c>
      <c r="E117" s="4" t="s">
        <v>310</v>
      </c>
      <c r="F117" s="4">
        <v>34</v>
      </c>
    </row>
    <row r="118" spans="1:6" x14ac:dyDescent="0.45">
      <c r="A118" t="s">
        <v>311</v>
      </c>
      <c r="B118" t="str">
        <f>_xlfn.REGEXREPLACE([1]query1!B118, "https://doi.org/", "")</f>
        <v>10.1080/10255842.2022.2034794</v>
      </c>
      <c r="C118">
        <v>26</v>
      </c>
      <c r="D118" s="4" t="s">
        <v>312</v>
      </c>
      <c r="E118" s="4" t="s">
        <v>313</v>
      </c>
      <c r="F118" s="4">
        <v>33</v>
      </c>
    </row>
    <row r="119" spans="1:6" x14ac:dyDescent="0.45">
      <c r="A119" t="s">
        <v>314</v>
      </c>
      <c r="B119" t="str">
        <f>_xlfn.REGEXREPLACE([1]query1!B119, "https://doi.org/", "")</f>
        <v>10.3389/fpubh.2020.00089</v>
      </c>
      <c r="C119">
        <v>26</v>
      </c>
      <c r="D119" s="4" t="s">
        <v>176</v>
      </c>
      <c r="E119" s="4" t="s">
        <v>315</v>
      </c>
      <c r="F119" s="4">
        <v>33</v>
      </c>
    </row>
    <row r="120" spans="1:6" x14ac:dyDescent="0.45">
      <c r="A120" t="s">
        <v>20</v>
      </c>
      <c r="B120" t="str">
        <f>_xlfn.REGEXREPLACE([1]query1!B120, "https://doi.org/", "")</f>
        <v>10.48550/arxiv.2106.14405</v>
      </c>
      <c r="C120">
        <v>25</v>
      </c>
      <c r="D120" s="4" t="s">
        <v>316</v>
      </c>
      <c r="E120" s="4" t="s">
        <v>317</v>
      </c>
      <c r="F120" s="4">
        <v>33</v>
      </c>
    </row>
    <row r="121" spans="1:6" x14ac:dyDescent="0.45">
      <c r="A121" t="s">
        <v>318</v>
      </c>
      <c r="B121" t="str">
        <f>_xlfn.REGEXREPLACE([1]query1!B121, "https://doi.org/", "")</f>
        <v>10.1098/rsif.2021.0036</v>
      </c>
      <c r="C121">
        <v>25</v>
      </c>
      <c r="D121" s="4" t="s">
        <v>319</v>
      </c>
      <c r="E121" s="4" t="s">
        <v>320</v>
      </c>
      <c r="F121" s="4">
        <v>33</v>
      </c>
    </row>
    <row r="122" spans="1:6" x14ac:dyDescent="0.45">
      <c r="A122" t="s">
        <v>321</v>
      </c>
      <c r="B122" t="str">
        <f>_xlfn.REGEXREPLACE([1]query1!B122, "https://doi.org/", "")</f>
        <v>10.1109/access.2020.3035840</v>
      </c>
      <c r="C122">
        <v>25</v>
      </c>
      <c r="D122" s="4" t="s">
        <v>240</v>
      </c>
      <c r="E122" s="4" t="s">
        <v>322</v>
      </c>
      <c r="F122" s="4">
        <v>32</v>
      </c>
    </row>
    <row r="123" spans="1:6" x14ac:dyDescent="0.45">
      <c r="A123" t="s">
        <v>323</v>
      </c>
      <c r="B123" t="str">
        <f>_xlfn.REGEXREPLACE([1]query1!B123, "https://doi.org/", "")</f>
        <v>10.1016/j.jbc.2021.100350</v>
      </c>
      <c r="C123">
        <v>25</v>
      </c>
      <c r="D123" s="4" t="s">
        <v>324</v>
      </c>
      <c r="E123" s="4" t="s">
        <v>325</v>
      </c>
      <c r="F123" s="4">
        <v>32</v>
      </c>
    </row>
    <row r="124" spans="1:6" x14ac:dyDescent="0.45">
      <c r="A124" t="s">
        <v>326</v>
      </c>
      <c r="B124" t="str">
        <f>_xlfn.REGEXREPLACE([1]query1!B124, "https://doi.org/", "")</f>
        <v>10.1016/j.habitatint.2023.102753</v>
      </c>
      <c r="C124">
        <v>24</v>
      </c>
      <c r="D124" s="4" t="s">
        <v>183</v>
      </c>
      <c r="E124" s="4" t="s">
        <v>327</v>
      </c>
      <c r="F124" s="4">
        <v>32</v>
      </c>
    </row>
    <row r="125" spans="1:6" x14ac:dyDescent="0.45">
      <c r="A125" t="s">
        <v>328</v>
      </c>
      <c r="B125" t="str">
        <f>_xlfn.REGEXREPLACE([1]query1!B125, "https://doi.org/", "")</f>
        <v>10.1021/acs.langmuir.0c00600</v>
      </c>
      <c r="C125">
        <v>24</v>
      </c>
      <c r="D125" s="4" t="s">
        <v>329</v>
      </c>
      <c r="E125" s="4" t="s">
        <v>330</v>
      </c>
      <c r="F125" s="4">
        <v>32</v>
      </c>
    </row>
    <row r="126" spans="1:6" x14ac:dyDescent="0.45">
      <c r="A126" t="s">
        <v>331</v>
      </c>
      <c r="B126" t="str">
        <f>_xlfn.REGEXREPLACE([1]query1!B126, "https://doi.org/", "")</f>
        <v>10.1109/tsg.2023.3237965</v>
      </c>
      <c r="C126">
        <v>24</v>
      </c>
      <c r="D126" s="4" t="s">
        <v>332</v>
      </c>
      <c r="E126" s="4" t="s">
        <v>333</v>
      </c>
      <c r="F126" s="4">
        <v>32</v>
      </c>
    </row>
    <row r="127" spans="1:6" x14ac:dyDescent="0.45">
      <c r="A127" t="s">
        <v>334</v>
      </c>
      <c r="B127" t="str">
        <f>_xlfn.REGEXREPLACE([1]query1!B127, "https://doi.org/", "")</f>
        <v>10.1016/j.csda.2020.107016</v>
      </c>
      <c r="C127">
        <v>24</v>
      </c>
      <c r="D127" s="4" t="s">
        <v>331</v>
      </c>
      <c r="E127" s="4" t="s">
        <v>335</v>
      </c>
      <c r="F127" s="4">
        <v>31</v>
      </c>
    </row>
    <row r="128" spans="1:6" x14ac:dyDescent="0.45">
      <c r="A128" t="s">
        <v>336</v>
      </c>
      <c r="B128" t="str">
        <f>_xlfn.REGEXREPLACE([1]query1!B128, "https://doi.org/", "")</f>
        <v>10.1140/epjs/s11734-022-00458-0</v>
      </c>
      <c r="C128">
        <v>24</v>
      </c>
      <c r="D128" s="4" t="s">
        <v>236</v>
      </c>
      <c r="E128" s="4" t="s">
        <v>337</v>
      </c>
      <c r="F128" s="4">
        <v>30</v>
      </c>
    </row>
    <row r="129" spans="1:6" x14ac:dyDescent="0.45">
      <c r="A129" t="s">
        <v>338</v>
      </c>
      <c r="B129" t="str">
        <f>_xlfn.REGEXREPLACE([1]query1!B129, "https://doi.org/", "")</f>
        <v>10.1016/j.energy.2021.123050</v>
      </c>
      <c r="C129">
        <v>23</v>
      </c>
      <c r="D129" s="4" t="s">
        <v>339</v>
      </c>
      <c r="E129" s="4" t="s">
        <v>340</v>
      </c>
      <c r="F129" s="4">
        <v>30</v>
      </c>
    </row>
    <row r="130" spans="1:6" x14ac:dyDescent="0.45">
      <c r="A130" t="s">
        <v>341</v>
      </c>
      <c r="B130" t="str">
        <f>_xlfn.REGEXREPLACE([1]query1!B130, "https://doi.org/", "")</f>
        <v>10.1103/physrevd.108.063022</v>
      </c>
      <c r="C130">
        <v>23</v>
      </c>
      <c r="D130" s="4" t="s">
        <v>342</v>
      </c>
      <c r="E130" s="4" t="s">
        <v>343</v>
      </c>
      <c r="F130" s="4">
        <v>30</v>
      </c>
    </row>
    <row r="131" spans="1:6" x14ac:dyDescent="0.45">
      <c r="A131" t="s">
        <v>344</v>
      </c>
      <c r="B131" t="str">
        <f>_xlfn.REGEXREPLACE([1]query1!B131, "https://doi.org/", "")</f>
        <v>10.1007/s10584-021-03037-9</v>
      </c>
      <c r="C131">
        <v>23</v>
      </c>
      <c r="D131" s="4" t="s">
        <v>345</v>
      </c>
      <c r="E131" s="4" t="s">
        <v>346</v>
      </c>
      <c r="F131" s="4">
        <v>30</v>
      </c>
    </row>
    <row r="132" spans="1:6" x14ac:dyDescent="0.45">
      <c r="A132" t="s">
        <v>347</v>
      </c>
      <c r="B132" t="str">
        <f>_xlfn.REGEXREPLACE([1]query1!B132, "https://doi.org/", "")</f>
        <v>10.1103/physreve.104.024605</v>
      </c>
      <c r="C132">
        <v>23</v>
      </c>
      <c r="D132" s="4" t="s">
        <v>251</v>
      </c>
      <c r="E132" s="4" t="s">
        <v>348</v>
      </c>
      <c r="F132" s="4">
        <v>30</v>
      </c>
    </row>
    <row r="133" spans="1:6" x14ac:dyDescent="0.45">
      <c r="A133" t="s">
        <v>349</v>
      </c>
      <c r="B133" t="str">
        <f>_xlfn.REGEXREPLACE([1]query1!B133, "https://doi.org/", "")</f>
        <v>10.3386/w27891</v>
      </c>
      <c r="C133">
        <v>23</v>
      </c>
      <c r="D133" s="4" t="s">
        <v>350</v>
      </c>
      <c r="E133" s="4" t="s">
        <v>351</v>
      </c>
      <c r="F133" s="4">
        <v>30</v>
      </c>
    </row>
    <row r="134" spans="1:6" x14ac:dyDescent="0.45">
      <c r="A134" t="s">
        <v>352</v>
      </c>
      <c r="B134" t="str">
        <f>_xlfn.REGEXREPLACE([1]query1!B134, "https://doi.org/", "")</f>
        <v>10.1093/biostatistics/kxab032</v>
      </c>
      <c r="C134">
        <v>23</v>
      </c>
      <c r="D134" s="4" t="s">
        <v>269</v>
      </c>
      <c r="E134" s="4" t="s">
        <v>353</v>
      </c>
      <c r="F134" s="4">
        <v>29</v>
      </c>
    </row>
    <row r="135" spans="1:6" x14ac:dyDescent="0.45">
      <c r="A135" t="s">
        <v>354</v>
      </c>
      <c r="B135" t="str">
        <f>_xlfn.REGEXREPLACE([1]query1!B135, "https://doi.org/", "")</f>
        <v>10.1109/tmc.2023.3321701</v>
      </c>
      <c r="C135">
        <v>23</v>
      </c>
      <c r="D135" s="4" t="s">
        <v>273</v>
      </c>
      <c r="E135" s="4" t="s">
        <v>355</v>
      </c>
      <c r="F135" s="4">
        <v>29</v>
      </c>
    </row>
    <row r="136" spans="1:6" x14ac:dyDescent="0.45">
      <c r="A136" t="s">
        <v>356</v>
      </c>
      <c r="B136" t="str">
        <f>_xlfn.REGEXREPLACE([1]query1!B136, "https://doi.org/", "")</f>
        <v>10.1175/jcli-d-19-0920.1</v>
      </c>
      <c r="C136">
        <v>22</v>
      </c>
      <c r="D136" s="4" t="s">
        <v>357</v>
      </c>
      <c r="E136" s="4" t="s">
        <v>358</v>
      </c>
      <c r="F136" s="4">
        <v>29</v>
      </c>
    </row>
    <row r="137" spans="1:6" x14ac:dyDescent="0.45">
      <c r="A137" t="s">
        <v>359</v>
      </c>
      <c r="B137" t="str">
        <f>_xlfn.REGEXREPLACE([1]query1!B137, "https://doi.org/", "")</f>
        <v>10.1016/j.eja.2024.127422</v>
      </c>
      <c r="C137">
        <v>22</v>
      </c>
      <c r="D137" s="4" t="s">
        <v>264</v>
      </c>
      <c r="E137" s="4" t="s">
        <v>360</v>
      </c>
      <c r="F137" s="4">
        <v>29</v>
      </c>
    </row>
    <row r="138" spans="1:6" x14ac:dyDescent="0.45">
      <c r="A138" t="s">
        <v>361</v>
      </c>
      <c r="B138" t="str">
        <f>_xlfn.REGEXREPLACE([1]query1!B138, "https://doi.org/", "")</f>
        <v>10.48550/arxiv.2003.08515</v>
      </c>
      <c r="C138">
        <v>22</v>
      </c>
      <c r="D138" s="4" t="s">
        <v>362</v>
      </c>
      <c r="E138" s="4" t="s">
        <v>363</v>
      </c>
      <c r="F138" s="4">
        <v>29</v>
      </c>
    </row>
    <row r="139" spans="1:6" x14ac:dyDescent="0.45">
      <c r="A139" t="s">
        <v>364</v>
      </c>
      <c r="B139" t="str">
        <f>_xlfn.REGEXREPLACE([1]query1!B139, "https://doi.org/", "")</f>
        <v>10.1109/tvt.2021.3085833</v>
      </c>
      <c r="C139">
        <v>22</v>
      </c>
      <c r="D139" s="4" t="s">
        <v>261</v>
      </c>
      <c r="E139" s="4" t="s">
        <v>365</v>
      </c>
      <c r="F139" s="4">
        <v>29</v>
      </c>
    </row>
    <row r="140" spans="1:6" x14ac:dyDescent="0.45">
      <c r="A140" t="s">
        <v>366</v>
      </c>
      <c r="B140" t="str">
        <f>_xlfn.REGEXREPLACE([1]query1!B140, "https://doi.org/", "")</f>
        <v>10.1007/s00193-020-00979-4</v>
      </c>
      <c r="C140">
        <v>22</v>
      </c>
      <c r="D140" s="4" t="s">
        <v>258</v>
      </c>
      <c r="E140" s="4" t="s">
        <v>367</v>
      </c>
      <c r="F140" s="4">
        <v>29</v>
      </c>
    </row>
    <row r="141" spans="1:6" x14ac:dyDescent="0.45">
      <c r="A141" t="s">
        <v>368</v>
      </c>
      <c r="B141" t="str">
        <f>_xlfn.REGEXREPLACE([1]query1!B141, "https://doi.org/", "")</f>
        <v>10.1016/j.stemcr.2022.03.002</v>
      </c>
      <c r="C141">
        <v>21</v>
      </c>
      <c r="D141" s="4" t="s">
        <v>369</v>
      </c>
      <c r="E141" s="4" t="s">
        <v>370</v>
      </c>
      <c r="F141" s="4">
        <v>29</v>
      </c>
    </row>
    <row r="142" spans="1:6" x14ac:dyDescent="0.45">
      <c r="A142" t="s">
        <v>371</v>
      </c>
      <c r="B142" t="str">
        <f>_xlfn.REGEXREPLACE([1]query1!B142, "https://doi.org/", "")</f>
        <v>10.1037/per0000575</v>
      </c>
      <c r="C142">
        <v>21</v>
      </c>
      <c r="D142" s="4" t="s">
        <v>227</v>
      </c>
      <c r="E142" s="4" t="s">
        <v>372</v>
      </c>
      <c r="F142" s="4">
        <v>29</v>
      </c>
    </row>
    <row r="143" spans="1:6" x14ac:dyDescent="0.45">
      <c r="A143" t="s">
        <v>373</v>
      </c>
      <c r="B143" t="str">
        <f>_xlfn.REGEXREPLACE([1]query1!B143, "https://doi.org/", "")</f>
        <v>10.1109/tsg.2022.3187871</v>
      </c>
      <c r="C143">
        <v>21</v>
      </c>
      <c r="D143" s="4" t="s">
        <v>374</v>
      </c>
      <c r="E143" s="4" t="s">
        <v>375</v>
      </c>
      <c r="F143" s="4">
        <v>29</v>
      </c>
    </row>
    <row r="144" spans="1:6" x14ac:dyDescent="0.45">
      <c r="A144" t="s">
        <v>376</v>
      </c>
      <c r="B144" t="str">
        <f>_xlfn.REGEXREPLACE([1]query1!B144, "https://doi.org/", "")</f>
        <v>10.5194/gmd-14-6215-2021</v>
      </c>
      <c r="C144">
        <v>21</v>
      </c>
      <c r="D144" s="4" t="s">
        <v>289</v>
      </c>
      <c r="E144" s="4" t="s">
        <v>377</v>
      </c>
      <c r="F144" s="4">
        <v>28</v>
      </c>
    </row>
    <row r="145" spans="1:6" x14ac:dyDescent="0.45">
      <c r="A145" t="s">
        <v>378</v>
      </c>
      <c r="B145" t="str">
        <f>_xlfn.REGEXREPLACE([1]query1!B145, "https://doi.org/", "")</f>
        <v>10.1002/sim.8922</v>
      </c>
      <c r="C145">
        <v>21</v>
      </c>
      <c r="D145" s="4" t="s">
        <v>379</v>
      </c>
      <c r="E145" s="4" t="s">
        <v>380</v>
      </c>
      <c r="F145" s="4">
        <v>28</v>
      </c>
    </row>
    <row r="146" spans="1:6" x14ac:dyDescent="0.45">
      <c r="A146" t="s">
        <v>381</v>
      </c>
      <c r="B146" t="str">
        <f>_xlfn.REGEXREPLACE([1]query1!B146, "https://doi.org/", "")</f>
        <v>10.1093/mnras/stae1114</v>
      </c>
      <c r="C146">
        <v>21</v>
      </c>
      <c r="D146" s="4" t="s">
        <v>382</v>
      </c>
      <c r="E146" s="4" t="s">
        <v>383</v>
      </c>
      <c r="F146" s="4">
        <v>28</v>
      </c>
    </row>
    <row r="147" spans="1:6" x14ac:dyDescent="0.45">
      <c r="A147" t="s">
        <v>384</v>
      </c>
      <c r="B147" t="str">
        <f>_xlfn.REGEXREPLACE([1]query1!B147, "https://doi.org/", "")</f>
        <v>10.1088/1751-8121/ad4c2c</v>
      </c>
      <c r="C147">
        <v>21</v>
      </c>
      <c r="D147" s="4" t="s">
        <v>283</v>
      </c>
      <c r="E147" s="4" t="s">
        <v>385</v>
      </c>
      <c r="F147" s="4">
        <v>28</v>
      </c>
    </row>
    <row r="148" spans="1:6" x14ac:dyDescent="0.45">
      <c r="A148" t="s">
        <v>386</v>
      </c>
      <c r="B148" t="str">
        <f>_xlfn.REGEXREPLACE([1]query1!B148, "https://doi.org/", "")</f>
        <v>10.1016/j.neuropsychologia.2021.107751</v>
      </c>
      <c r="C148">
        <v>20</v>
      </c>
      <c r="D148" s="4" t="s">
        <v>387</v>
      </c>
      <c r="E148" s="4" t="s">
        <v>388</v>
      </c>
      <c r="F148" s="4">
        <v>28</v>
      </c>
    </row>
    <row r="149" spans="1:6" x14ac:dyDescent="0.45">
      <c r="A149" t="s">
        <v>389</v>
      </c>
      <c r="B149" t="str">
        <f>_xlfn.REGEXREPLACE([1]query1!B149, "https://doi.org/", "")</f>
        <v>10.1016/j.commatsci.2021.111166</v>
      </c>
      <c r="C149">
        <v>20</v>
      </c>
      <c r="D149" s="4" t="s">
        <v>390</v>
      </c>
      <c r="E149" s="4" t="s">
        <v>391</v>
      </c>
      <c r="F149" s="4">
        <v>28</v>
      </c>
    </row>
    <row r="150" spans="1:6" x14ac:dyDescent="0.45">
      <c r="A150" t="s">
        <v>392</v>
      </c>
      <c r="B150" t="str">
        <f>_xlfn.REGEXREPLACE([1]query1!B150, "https://doi.org/", "")</f>
        <v>10.1080/09500693.2022.2062799</v>
      </c>
      <c r="C150">
        <v>20</v>
      </c>
      <c r="D150" s="4" t="s">
        <v>393</v>
      </c>
      <c r="E150" s="4" t="s">
        <v>394</v>
      </c>
      <c r="F150" s="4">
        <v>27</v>
      </c>
    </row>
    <row r="151" spans="1:6" x14ac:dyDescent="0.45">
      <c r="A151" t="s">
        <v>395</v>
      </c>
      <c r="B151" t="str">
        <f>_xlfn.REGEXREPLACE([1]query1!B151, "https://doi.org/", "")</f>
        <v>10.3390/rs12172752</v>
      </c>
      <c r="C151">
        <v>20</v>
      </c>
      <c r="D151" s="4" t="s">
        <v>396</v>
      </c>
      <c r="E151" s="4" t="s">
        <v>397</v>
      </c>
      <c r="F151" s="4">
        <v>27</v>
      </c>
    </row>
    <row r="152" spans="1:6" x14ac:dyDescent="0.45">
      <c r="A152" t="s">
        <v>398</v>
      </c>
      <c r="B152" t="str">
        <f>_xlfn.REGEXREPLACE([1]query1!B152, "https://doi.org/", "")</f>
        <v>10.1109/lgrs.2024.3356422</v>
      </c>
      <c r="C152">
        <v>20</v>
      </c>
      <c r="D152" s="4" t="s">
        <v>399</v>
      </c>
      <c r="E152" s="4" t="s">
        <v>400</v>
      </c>
      <c r="F152" s="4">
        <v>27</v>
      </c>
    </row>
    <row r="153" spans="1:6" x14ac:dyDescent="0.45">
      <c r="A153" t="s">
        <v>401</v>
      </c>
      <c r="B153" t="str">
        <f>_xlfn.REGEXREPLACE([1]query1!B153, "https://doi.org/", "")</f>
        <v>10.21227/d5fr-xa14</v>
      </c>
      <c r="C153">
        <v>20</v>
      </c>
      <c r="D153" s="4" t="s">
        <v>402</v>
      </c>
      <c r="E153" s="4" t="s">
        <v>403</v>
      </c>
      <c r="F153" s="4">
        <v>27</v>
      </c>
    </row>
    <row r="154" spans="1:6" x14ac:dyDescent="0.45">
      <c r="A154" t="s">
        <v>404</v>
      </c>
      <c r="B154" t="str">
        <f>_xlfn.REGEXREPLACE([1]query1!B154, "https://doi.org/", "")</f>
        <v>10.1016/j.ijhydene.2023.06.164</v>
      </c>
      <c r="C154">
        <v>20</v>
      </c>
      <c r="D154" s="4" t="s">
        <v>302</v>
      </c>
      <c r="E154" s="4" t="s">
        <v>405</v>
      </c>
      <c r="F154" s="4">
        <v>26</v>
      </c>
    </row>
    <row r="155" spans="1:6" x14ac:dyDescent="0.45">
      <c r="A155" t="s">
        <v>406</v>
      </c>
      <c r="B155" t="str">
        <f>_xlfn.REGEXREPLACE([1]query1!B155, "https://doi.org/", "")</f>
        <v>10.1186/s40658-023-00564-5</v>
      </c>
      <c r="C155">
        <v>19</v>
      </c>
      <c r="D155" s="4" t="s">
        <v>308</v>
      </c>
      <c r="E155" s="4" t="s">
        <v>407</v>
      </c>
      <c r="F155" s="4">
        <v>26</v>
      </c>
    </row>
    <row r="156" spans="1:6" x14ac:dyDescent="0.45">
      <c r="A156" t="s">
        <v>408</v>
      </c>
      <c r="B156" t="str">
        <f>_xlfn.REGEXREPLACE([1]query1!B156, "https://doi.org/", "")</f>
        <v>10.1002/qj.4287</v>
      </c>
      <c r="C156">
        <v>19</v>
      </c>
      <c r="D156" s="4" t="s">
        <v>278</v>
      </c>
      <c r="E156" s="4" t="s">
        <v>409</v>
      </c>
      <c r="F156" s="4">
        <v>26</v>
      </c>
    </row>
    <row r="157" spans="1:6" x14ac:dyDescent="0.45">
      <c r="A157" t="s">
        <v>410</v>
      </c>
      <c r="B157" t="str">
        <f>_xlfn.REGEXREPLACE([1]query1!B157, "https://doi.org/", "")</f>
        <v>10.1109/cvprw63382.2024.00708</v>
      </c>
      <c r="C157">
        <v>19</v>
      </c>
      <c r="D157" s="4" t="s">
        <v>411</v>
      </c>
      <c r="E157" s="4" t="s">
        <v>412</v>
      </c>
      <c r="F157" s="4">
        <v>26</v>
      </c>
    </row>
    <row r="158" spans="1:6" x14ac:dyDescent="0.45">
      <c r="A158" t="s">
        <v>413</v>
      </c>
      <c r="B158" t="str">
        <f>_xlfn.REGEXREPLACE([1]query1!B158, "https://doi.org/", "")</f>
        <v>10.1021/acs.jpcc.9b08969</v>
      </c>
      <c r="C158">
        <v>19</v>
      </c>
      <c r="D158" s="4" t="s">
        <v>414</v>
      </c>
      <c r="E158" s="4" t="s">
        <v>415</v>
      </c>
      <c r="F158" s="4">
        <v>25</v>
      </c>
    </row>
    <row r="159" spans="1:6" x14ac:dyDescent="0.45">
      <c r="A159" t="s">
        <v>416</v>
      </c>
      <c r="B159" t="str">
        <f>_xlfn.REGEXREPLACE([1]query1!B159, "https://doi.org/", "")</f>
        <v>10.1016/j.seta.2023.103044</v>
      </c>
      <c r="C159">
        <v>19</v>
      </c>
      <c r="D159" s="4" t="s">
        <v>417</v>
      </c>
      <c r="E159" s="4" t="s">
        <v>418</v>
      </c>
      <c r="F159" s="4">
        <v>25</v>
      </c>
    </row>
    <row r="160" spans="1:6" x14ac:dyDescent="0.45">
      <c r="A160" t="s">
        <v>419</v>
      </c>
      <c r="B160" t="str">
        <f>_xlfn.REGEXREPLACE([1]query1!B160, "https://doi.org/", "")</f>
        <v>10.1016/j.catena.2023.107322</v>
      </c>
      <c r="C160">
        <v>19</v>
      </c>
      <c r="D160" s="4" t="s">
        <v>275</v>
      </c>
      <c r="E160" s="4" t="s">
        <v>420</v>
      </c>
      <c r="F160" s="4">
        <v>25</v>
      </c>
    </row>
    <row r="161" spans="1:6" x14ac:dyDescent="0.45">
      <c r="A161" t="s">
        <v>421</v>
      </c>
      <c r="B161" t="str">
        <f>_xlfn.REGEXREPLACE([1]query1!B161, "https://doi.org/", "")</f>
        <v>10.1007/s11222-019-09917-6</v>
      </c>
      <c r="C161">
        <v>19</v>
      </c>
      <c r="D161" s="4" t="s">
        <v>366</v>
      </c>
      <c r="E161" s="4" t="s">
        <v>422</v>
      </c>
      <c r="F161" s="4">
        <v>25</v>
      </c>
    </row>
    <row r="162" spans="1:6" x14ac:dyDescent="0.45">
      <c r="A162" t="s">
        <v>423</v>
      </c>
      <c r="B162" t="str">
        <f>_xlfn.REGEXREPLACE([1]query1!B162, "https://doi.org/", "")</f>
        <v>10.1109/infocom48880.2022.9796853</v>
      </c>
      <c r="C162">
        <v>19</v>
      </c>
      <c r="D162" s="4" t="s">
        <v>424</v>
      </c>
      <c r="E162" s="4" t="s">
        <v>425</v>
      </c>
      <c r="F162" s="4">
        <v>25</v>
      </c>
    </row>
    <row r="163" spans="1:6" x14ac:dyDescent="0.45">
      <c r="A163" t="s">
        <v>426</v>
      </c>
      <c r="B163" t="str">
        <f>_xlfn.REGEXREPLACE([1]query1!B163, "https://doi.org/", "")</f>
        <v>10.1103/physreve.107.014129</v>
      </c>
      <c r="C163">
        <v>19</v>
      </c>
      <c r="D163" s="4" t="s">
        <v>427</v>
      </c>
      <c r="E163" s="4" t="s">
        <v>428</v>
      </c>
      <c r="F163" s="4">
        <v>25</v>
      </c>
    </row>
    <row r="164" spans="1:6" x14ac:dyDescent="0.45">
      <c r="A164" t="s">
        <v>429</v>
      </c>
      <c r="B164" t="str">
        <f>_xlfn.REGEXREPLACE([1]query1!B164, "https://doi.org/", "")</f>
        <v>10.1093/biostatistics/kxab028</v>
      </c>
      <c r="C164">
        <v>19</v>
      </c>
      <c r="D164" s="4" t="s">
        <v>430</v>
      </c>
      <c r="E164" s="4" t="s">
        <v>431</v>
      </c>
      <c r="F164" s="4">
        <v>25</v>
      </c>
    </row>
    <row r="165" spans="1:6" x14ac:dyDescent="0.45">
      <c r="A165" t="s">
        <v>432</v>
      </c>
      <c r="B165" t="str">
        <f>_xlfn.REGEXREPLACE([1]query1!B165, "https://doi.org/", "")</f>
        <v>10.1016/j.ijfatigue.2020.105697</v>
      </c>
      <c r="C165">
        <v>19</v>
      </c>
      <c r="D165" s="4" t="s">
        <v>433</v>
      </c>
      <c r="E165" s="4" t="s">
        <v>434</v>
      </c>
      <c r="F165" s="4">
        <v>24</v>
      </c>
    </row>
    <row r="166" spans="1:6" x14ac:dyDescent="0.45">
      <c r="A166" t="s">
        <v>435</v>
      </c>
      <c r="B166" t="str">
        <f>_xlfn.REGEXREPLACE([1]query1!B166, "https://doi.org/", "")</f>
        <v>10.1029/2020gl088752</v>
      </c>
      <c r="C166">
        <v>18</v>
      </c>
      <c r="D166" s="4" t="s">
        <v>436</v>
      </c>
      <c r="E166" s="4" t="s">
        <v>437</v>
      </c>
      <c r="F166" s="4">
        <v>24</v>
      </c>
    </row>
    <row r="167" spans="1:6" x14ac:dyDescent="0.45">
      <c r="A167" t="s">
        <v>438</v>
      </c>
      <c r="B167" t="str">
        <f>_xlfn.REGEXREPLACE([1]query1!B167, "https://doi.org/", "")</f>
        <v>10.1016/j.eswa.2024.125238</v>
      </c>
      <c r="C167">
        <v>18</v>
      </c>
      <c r="D167" s="4" t="s">
        <v>83</v>
      </c>
      <c r="E167" s="4" t="s">
        <v>439</v>
      </c>
      <c r="F167" s="4">
        <v>24</v>
      </c>
    </row>
    <row r="168" spans="1:6" x14ac:dyDescent="0.45">
      <c r="A168" t="s">
        <v>440</v>
      </c>
      <c r="B168" t="str">
        <f>_xlfn.REGEXREPLACE([1]query1!B168, "https://doi.org/", "")</f>
        <v>10.1109/tii.2020.3007614</v>
      </c>
      <c r="C168">
        <v>18</v>
      </c>
      <c r="D168" s="4" t="s">
        <v>441</v>
      </c>
      <c r="E168" s="4" t="s">
        <v>442</v>
      </c>
      <c r="F168" s="4">
        <v>24</v>
      </c>
    </row>
    <row r="169" spans="1:6" x14ac:dyDescent="0.45">
      <c r="A169" t="s">
        <v>443</v>
      </c>
      <c r="B169" t="str">
        <f>_xlfn.REGEXREPLACE([1]query1!B169, "https://doi.org/", "")</f>
        <v>10.1016/j.insmatheco.2021.10.005</v>
      </c>
      <c r="C169">
        <v>18</v>
      </c>
      <c r="D169" s="4" t="s">
        <v>373</v>
      </c>
      <c r="E169" s="4" t="s">
        <v>444</v>
      </c>
      <c r="F169" s="4">
        <v>23</v>
      </c>
    </row>
    <row r="170" spans="1:6" x14ac:dyDescent="0.45">
      <c r="A170" t="s">
        <v>445</v>
      </c>
      <c r="B170" t="str">
        <f>_xlfn.REGEXREPLACE([1]query1!B170, "https://doi.org/", "")</f>
        <v>10.1016/j.nima.2020.163525</v>
      </c>
      <c r="C170">
        <v>18</v>
      </c>
      <c r="D170" s="4" t="s">
        <v>336</v>
      </c>
      <c r="E170" s="4" t="s">
        <v>446</v>
      </c>
      <c r="F170" s="4">
        <v>23</v>
      </c>
    </row>
    <row r="171" spans="1:6" x14ac:dyDescent="0.45">
      <c r="A171" t="s">
        <v>447</v>
      </c>
      <c r="B171" t="str">
        <f>_xlfn.REGEXREPLACE([1]query1!B171, "https://doi.org/", "")</f>
        <v>10.1109/access.2020.2977050</v>
      </c>
      <c r="C171">
        <v>18</v>
      </c>
      <c r="D171" s="4" t="s">
        <v>448</v>
      </c>
      <c r="E171" s="4" t="s">
        <v>449</v>
      </c>
      <c r="F171" s="4">
        <v>23</v>
      </c>
    </row>
    <row r="172" spans="1:6" x14ac:dyDescent="0.45">
      <c r="A172" t="s">
        <v>450</v>
      </c>
      <c r="B172" t="str">
        <f>_xlfn.REGEXREPLACE([1]query1!B172, "https://doi.org/", "")</f>
        <v>10.1085/jgp.202112923</v>
      </c>
      <c r="C172">
        <v>18</v>
      </c>
      <c r="D172" s="4" t="s">
        <v>294</v>
      </c>
      <c r="E172" s="4" t="s">
        <v>451</v>
      </c>
      <c r="F172" s="4">
        <v>23</v>
      </c>
    </row>
    <row r="173" spans="1:6" x14ac:dyDescent="0.45">
      <c r="A173" t="s">
        <v>452</v>
      </c>
      <c r="B173" t="str">
        <f>_xlfn.REGEXREPLACE([1]query1!B173, "https://doi.org/", "")</f>
        <v>10.1016/j.tranpol.2023.01.008</v>
      </c>
      <c r="C173">
        <v>18</v>
      </c>
      <c r="D173" s="4" t="s">
        <v>398</v>
      </c>
      <c r="E173" s="4" t="s">
        <v>453</v>
      </c>
      <c r="F173" s="4">
        <v>22</v>
      </c>
    </row>
    <row r="174" spans="1:6" x14ac:dyDescent="0.45">
      <c r="A174" t="s">
        <v>454</v>
      </c>
      <c r="B174" t="str">
        <f>_xlfn.REGEXREPLACE([1]query1!B174, "https://doi.org/", "")</f>
        <v>10.1109/msmc.2021.3136983</v>
      </c>
      <c r="C174">
        <v>17</v>
      </c>
      <c r="D174" s="4" t="s">
        <v>455</v>
      </c>
      <c r="E174" s="4" t="s">
        <v>456</v>
      </c>
      <c r="F174" s="4">
        <v>22</v>
      </c>
    </row>
    <row r="175" spans="1:6" x14ac:dyDescent="0.45">
      <c r="A175" t="s">
        <v>457</v>
      </c>
      <c r="B175" t="str">
        <f>_xlfn.REGEXREPLACE([1]query1!B175, "https://doi.org/", "")</f>
        <v>10.1007/s00707-020-02715-6</v>
      </c>
      <c r="C175">
        <v>17</v>
      </c>
      <c r="D175" s="4" t="s">
        <v>338</v>
      </c>
      <c r="E175" s="4" t="s">
        <v>458</v>
      </c>
      <c r="F175" s="4">
        <v>22</v>
      </c>
    </row>
    <row r="176" spans="1:6" x14ac:dyDescent="0.45">
      <c r="A176" t="s">
        <v>459</v>
      </c>
      <c r="B176" t="str">
        <f>_xlfn.REGEXREPLACE([1]query1!B176, "https://doi.org/", "")</f>
        <v>10.1103/physrevlett.128.157203</v>
      </c>
      <c r="C176">
        <v>17</v>
      </c>
      <c r="D176" s="4" t="s">
        <v>460</v>
      </c>
      <c r="E176" s="4"/>
      <c r="F176" s="4">
        <v>22</v>
      </c>
    </row>
    <row r="177" spans="1:6" x14ac:dyDescent="0.45">
      <c r="A177" t="s">
        <v>461</v>
      </c>
      <c r="B177" t="str">
        <f>_xlfn.REGEXREPLACE([1]query1!B177, "https://doi.org/", "")</f>
        <v>10.1063/5.0072249</v>
      </c>
      <c r="C177">
        <v>17</v>
      </c>
      <c r="D177" s="4" t="s">
        <v>462</v>
      </c>
      <c r="E177" s="4" t="s">
        <v>463</v>
      </c>
      <c r="F177" s="4">
        <v>22</v>
      </c>
    </row>
    <row r="178" spans="1:6" x14ac:dyDescent="0.45">
      <c r="A178" t="s">
        <v>464</v>
      </c>
      <c r="B178" t="str">
        <f>_xlfn.REGEXREPLACE([1]query1!B178, "https://doi.org/", "")</f>
        <v>10.1029/2020pa004075</v>
      </c>
      <c r="C178">
        <v>17</v>
      </c>
      <c r="D178" s="4" t="s">
        <v>334</v>
      </c>
      <c r="E178" s="4" t="s">
        <v>465</v>
      </c>
      <c r="F178" s="4">
        <v>22</v>
      </c>
    </row>
    <row r="179" spans="1:6" x14ac:dyDescent="0.45">
      <c r="A179" t="s">
        <v>466</v>
      </c>
      <c r="B179" t="str">
        <f>_xlfn.REGEXREPLACE([1]query1!B179, "https://doi.org/", "")</f>
        <v>10.1126/sciadv.adi8082</v>
      </c>
      <c r="C179">
        <v>17</v>
      </c>
      <c r="D179" s="4" t="s">
        <v>328</v>
      </c>
      <c r="E179" s="4" t="s">
        <v>467</v>
      </c>
      <c r="F179" s="4">
        <v>22</v>
      </c>
    </row>
    <row r="180" spans="1:6" x14ac:dyDescent="0.45">
      <c r="A180" t="s">
        <v>468</v>
      </c>
      <c r="B180" t="str">
        <f>_xlfn.REGEXREPLACE([1]query1!B180, "https://doi.org/", "")</f>
        <v>10.1029/2021gl094543</v>
      </c>
      <c r="C180">
        <v>17</v>
      </c>
      <c r="D180" s="4" t="s">
        <v>314</v>
      </c>
      <c r="E180" s="4" t="s">
        <v>469</v>
      </c>
      <c r="F180" s="4">
        <v>22</v>
      </c>
    </row>
    <row r="181" spans="1:6" x14ac:dyDescent="0.45">
      <c r="A181" t="s">
        <v>470</v>
      </c>
      <c r="B181" t="str">
        <f>_xlfn.REGEXREPLACE([1]query1!B181, "https://doi.org/", "")</f>
        <v>10.1109/tase.2022.3184458</v>
      </c>
      <c r="C181">
        <v>17</v>
      </c>
      <c r="D181" s="4" t="s">
        <v>471</v>
      </c>
      <c r="E181" s="4" t="s">
        <v>472</v>
      </c>
      <c r="F181" s="4">
        <v>21</v>
      </c>
    </row>
    <row r="182" spans="1:6" x14ac:dyDescent="0.45">
      <c r="A182" t="s">
        <v>349</v>
      </c>
      <c r="B182" t="str">
        <f>_xlfn.REGEXREPLACE([1]query1!B182, "https://doi.org/", "")</f>
        <v>10.21203/rs.3.rs-129518/v1</v>
      </c>
      <c r="C182">
        <v>17</v>
      </c>
      <c r="D182" s="4" t="s">
        <v>473</v>
      </c>
      <c r="E182" s="4" t="s">
        <v>474</v>
      </c>
      <c r="F182" s="4">
        <v>21</v>
      </c>
    </row>
    <row r="183" spans="1:6" x14ac:dyDescent="0.45">
      <c r="A183" t="s">
        <v>475</v>
      </c>
      <c r="B183" t="str">
        <f>_xlfn.REGEXREPLACE([1]query1!B183, "https://doi.org/", "")</f>
        <v>10.1002/sim.8798</v>
      </c>
      <c r="C183">
        <v>17</v>
      </c>
      <c r="D183" s="4" t="s">
        <v>254</v>
      </c>
      <c r="E183" s="4" t="s">
        <v>476</v>
      </c>
      <c r="F183" s="4">
        <v>21</v>
      </c>
    </row>
    <row r="184" spans="1:6" x14ac:dyDescent="0.45">
      <c r="A184" t="s">
        <v>477</v>
      </c>
      <c r="B184" t="str">
        <f>_xlfn.REGEXREPLACE([1]query1!B184, "https://doi.org/", "")</f>
        <v>10.1080/10618600.2022.2035738</v>
      </c>
      <c r="C184">
        <v>17</v>
      </c>
      <c r="D184" s="4" t="s">
        <v>478</v>
      </c>
      <c r="E184" s="4" t="s">
        <v>479</v>
      </c>
      <c r="F184" s="4">
        <v>21</v>
      </c>
    </row>
    <row r="185" spans="1:6" x14ac:dyDescent="0.45">
      <c r="A185" t="s">
        <v>480</v>
      </c>
      <c r="B185" t="str">
        <f>_xlfn.REGEXREPLACE([1]query1!B185, "https://doi.org/", "")</f>
        <v>10.3390/nano10071422</v>
      </c>
      <c r="C185">
        <v>17</v>
      </c>
      <c r="D185" s="4" t="s">
        <v>481</v>
      </c>
      <c r="E185" s="4" t="s">
        <v>482</v>
      </c>
      <c r="F185" s="4">
        <v>21</v>
      </c>
    </row>
    <row r="186" spans="1:6" x14ac:dyDescent="0.45">
      <c r="A186" t="s">
        <v>483</v>
      </c>
      <c r="B186" t="str">
        <f>_xlfn.REGEXREPLACE([1]query1!B186, "https://doi.org/", "")</f>
        <v>10.1109/iwqos54832.2022.9812872</v>
      </c>
      <c r="C186">
        <v>17</v>
      </c>
      <c r="D186" s="4" t="s">
        <v>381</v>
      </c>
      <c r="E186" s="4" t="s">
        <v>484</v>
      </c>
      <c r="F186" s="4">
        <v>20</v>
      </c>
    </row>
    <row r="187" spans="1:6" x14ac:dyDescent="0.45">
      <c r="A187" t="s">
        <v>485</v>
      </c>
      <c r="B187" t="str">
        <f>_xlfn.REGEXREPLACE([1]query1!B187, "https://doi.org/", "")</f>
        <v>10.1109/tvt.2024.3360252</v>
      </c>
      <c r="C187">
        <v>17</v>
      </c>
      <c r="D187" s="4" t="s">
        <v>486</v>
      </c>
      <c r="E187" s="4" t="s">
        <v>487</v>
      </c>
      <c r="F187" s="4">
        <v>20</v>
      </c>
    </row>
    <row r="188" spans="1:6" x14ac:dyDescent="0.45">
      <c r="A188" t="s">
        <v>488</v>
      </c>
      <c r="B188" t="str">
        <f>_xlfn.REGEXREPLACE([1]query1!B188, "https://doi.org/", "")</f>
        <v>10.1109/tccn.2024.3350596</v>
      </c>
      <c r="C188">
        <v>17</v>
      </c>
      <c r="D188" s="4" t="s">
        <v>246</v>
      </c>
      <c r="E188" s="4" t="s">
        <v>489</v>
      </c>
      <c r="F188" s="4">
        <v>20</v>
      </c>
    </row>
    <row r="189" spans="1:6" x14ac:dyDescent="0.45">
      <c r="A189" t="s">
        <v>490</v>
      </c>
      <c r="B189" t="str">
        <f>_xlfn.REGEXREPLACE([1]query1!B189, "https://doi.org/", "")</f>
        <v>10.1115/1.4046650</v>
      </c>
      <c r="C189">
        <v>17</v>
      </c>
      <c r="D189" s="4" t="s">
        <v>491</v>
      </c>
      <c r="E189" s="4" t="s">
        <v>492</v>
      </c>
      <c r="F189" s="4">
        <v>20</v>
      </c>
    </row>
    <row r="190" spans="1:6" x14ac:dyDescent="0.45">
      <c r="A190" t="s">
        <v>493</v>
      </c>
      <c r="B190" t="str">
        <f>_xlfn.REGEXREPLACE([1]query1!B190, "https://doi.org/", "")</f>
        <v>10.1186/s13638-020-01798-y</v>
      </c>
      <c r="C190">
        <v>17</v>
      </c>
      <c r="D190" s="4" t="s">
        <v>494</v>
      </c>
      <c r="E190" s="4" t="s">
        <v>495</v>
      </c>
      <c r="F190" s="4">
        <v>20</v>
      </c>
    </row>
    <row r="191" spans="1:6" x14ac:dyDescent="0.45">
      <c r="A191" t="s">
        <v>496</v>
      </c>
      <c r="B191" t="str">
        <f>_xlfn.REGEXREPLACE([1]query1!B191, "https://doi.org/", "")</f>
        <v>10.1214/21-aoas1472</v>
      </c>
      <c r="C191">
        <v>17</v>
      </c>
      <c r="D191" s="4" t="s">
        <v>497</v>
      </c>
      <c r="E191" s="4" t="s">
        <v>498</v>
      </c>
      <c r="F191" s="4">
        <v>20</v>
      </c>
    </row>
    <row r="192" spans="1:6" x14ac:dyDescent="0.45">
      <c r="A192" t="s">
        <v>499</v>
      </c>
      <c r="B192" t="str">
        <f>_xlfn.REGEXREPLACE([1]query1!B192, "https://doi.org/", "")</f>
        <v>10.1109/ted.2022.3192509</v>
      </c>
      <c r="C192">
        <v>17</v>
      </c>
      <c r="D192" s="4" t="s">
        <v>483</v>
      </c>
      <c r="E192" s="4" t="s">
        <v>500</v>
      </c>
      <c r="F192" s="4">
        <v>20</v>
      </c>
    </row>
    <row r="193" spans="1:6" x14ac:dyDescent="0.45">
      <c r="A193" t="s">
        <v>501</v>
      </c>
      <c r="B193" t="str">
        <f>_xlfn.REGEXREPLACE([1]query1!B193, "https://doi.org/", "")</f>
        <v>10.1002/eap.2898</v>
      </c>
      <c r="C193">
        <v>17</v>
      </c>
      <c r="D193" s="4" t="s">
        <v>423</v>
      </c>
      <c r="E193" s="4" t="s">
        <v>502</v>
      </c>
      <c r="F193" s="4">
        <v>20</v>
      </c>
    </row>
    <row r="194" spans="1:6" x14ac:dyDescent="0.45">
      <c r="A194" t="s">
        <v>503</v>
      </c>
      <c r="B194" t="str">
        <f>_xlfn.REGEXREPLACE([1]query1!B194, "https://doi.org/", "")</f>
        <v>10.12973/eu-jer.10.2.989</v>
      </c>
      <c r="C194">
        <v>16</v>
      </c>
      <c r="D194" s="4" t="s">
        <v>234</v>
      </c>
      <c r="E194" s="4" t="s">
        <v>504</v>
      </c>
      <c r="F194" s="4">
        <v>20</v>
      </c>
    </row>
    <row r="195" spans="1:6" x14ac:dyDescent="0.45">
      <c r="A195" t="s">
        <v>505</v>
      </c>
      <c r="B195" t="str">
        <f>_xlfn.REGEXREPLACE([1]query1!B195, "https://doi.org/", "")</f>
        <v>10.1029/2021jf006504</v>
      </c>
      <c r="C195">
        <v>16</v>
      </c>
      <c r="D195" s="4" t="s">
        <v>318</v>
      </c>
      <c r="E195" s="4" t="s">
        <v>506</v>
      </c>
      <c r="F195" s="4">
        <v>20</v>
      </c>
    </row>
    <row r="196" spans="1:6" x14ac:dyDescent="0.45">
      <c r="A196" t="s">
        <v>507</v>
      </c>
      <c r="B196" t="str">
        <f>_xlfn.REGEXREPLACE([1]query1!B196, "https://doi.org/", "")</f>
        <v>10.1007/s10584-020-02788-1</v>
      </c>
      <c r="C196">
        <v>16</v>
      </c>
      <c r="D196" s="4" t="s">
        <v>300</v>
      </c>
      <c r="E196" s="4" t="s">
        <v>508</v>
      </c>
      <c r="F196" s="4">
        <v>20</v>
      </c>
    </row>
    <row r="197" spans="1:6" x14ac:dyDescent="0.45">
      <c r="A197" t="s">
        <v>509</v>
      </c>
      <c r="B197" t="str">
        <f>_xlfn.REGEXREPLACE([1]query1!B197, "https://doi.org/", "")</f>
        <v>10.3390/geosciences13020052</v>
      </c>
      <c r="C197">
        <v>16</v>
      </c>
      <c r="D197" s="4" t="s">
        <v>510</v>
      </c>
      <c r="E197" s="4" t="s">
        <v>511</v>
      </c>
      <c r="F197" s="4">
        <v>20</v>
      </c>
    </row>
    <row r="198" spans="1:6" x14ac:dyDescent="0.45">
      <c r="A198" t="s">
        <v>512</v>
      </c>
      <c r="B198" t="str">
        <f>_xlfn.REGEXREPLACE([1]query1!B198, "https://doi.org/", "")</f>
        <v>10.1109/hri53351.2022.9889455</v>
      </c>
      <c r="C198">
        <v>16</v>
      </c>
      <c r="D198" s="4" t="s">
        <v>513</v>
      </c>
      <c r="E198" s="4" t="s">
        <v>514</v>
      </c>
      <c r="F198" s="4">
        <v>20</v>
      </c>
    </row>
    <row r="199" spans="1:6" x14ac:dyDescent="0.45">
      <c r="A199" t="s">
        <v>515</v>
      </c>
      <c r="B199" t="str">
        <f>_xlfn.REGEXREPLACE([1]query1!B199, "https://doi.org/", "")</f>
        <v>10.1109/tgrs.2024.3446042</v>
      </c>
      <c r="C199">
        <v>16</v>
      </c>
      <c r="D199" s="4" t="s">
        <v>516</v>
      </c>
      <c r="E199" s="4" t="s">
        <v>517</v>
      </c>
      <c r="F199" s="4">
        <v>19</v>
      </c>
    </row>
    <row r="200" spans="1:6" x14ac:dyDescent="0.45">
      <c r="A200" t="s">
        <v>518</v>
      </c>
      <c r="B200" t="str">
        <f>_xlfn.REGEXREPLACE([1]query1!B200, "https://doi.org/", "")</f>
        <v>10.3390/en13102591</v>
      </c>
      <c r="C200">
        <v>16</v>
      </c>
      <c r="D200" s="4" t="s">
        <v>354</v>
      </c>
      <c r="E200" s="4" t="s">
        <v>519</v>
      </c>
      <c r="F200" s="4">
        <v>19</v>
      </c>
    </row>
    <row r="201" spans="1:6" x14ac:dyDescent="0.45">
      <c r="A201" t="s">
        <v>520</v>
      </c>
      <c r="B201" t="str">
        <f>_xlfn.REGEXREPLACE([1]query1!B201, "https://doi.org/", "")</f>
        <v>10.3390/en16176348</v>
      </c>
      <c r="C201">
        <v>16</v>
      </c>
      <c r="D201" s="4" t="s">
        <v>521</v>
      </c>
      <c r="E201" s="4" t="s">
        <v>522</v>
      </c>
      <c r="F201" s="4">
        <v>19</v>
      </c>
    </row>
    <row r="202" spans="1:6" x14ac:dyDescent="0.45">
      <c r="A202" t="s">
        <v>523</v>
      </c>
      <c r="B202" t="str">
        <f>_xlfn.REGEXREPLACE([1]query1!B202, "https://doi.org/", "")</f>
        <v>10.1109/tie.2022.3210556</v>
      </c>
      <c r="C202">
        <v>16</v>
      </c>
      <c r="D202" s="4" t="s">
        <v>249</v>
      </c>
      <c r="E202" s="4" t="s">
        <v>524</v>
      </c>
      <c r="F202" s="4">
        <v>19</v>
      </c>
    </row>
    <row r="203" spans="1:6" x14ac:dyDescent="0.45">
      <c r="A203" t="s">
        <v>525</v>
      </c>
      <c r="B203" t="str">
        <f>_xlfn.REGEXREPLACE([1]query1!B203, "https://doi.org/", "")</f>
        <v>10.1101/2021.10.21.21265355</v>
      </c>
      <c r="C203">
        <v>16</v>
      </c>
      <c r="D203" s="4" t="s">
        <v>416</v>
      </c>
      <c r="E203" s="4" t="s">
        <v>526</v>
      </c>
      <c r="F203" s="4">
        <v>19</v>
      </c>
    </row>
    <row r="204" spans="1:6" x14ac:dyDescent="0.45">
      <c r="A204" t="s">
        <v>527</v>
      </c>
      <c r="B204" t="str">
        <f>_xlfn.REGEXREPLACE([1]query1!B204, "https://doi.org/", "")</f>
        <v>10.1109/jiot.2024.3367958</v>
      </c>
      <c r="C204">
        <v>16</v>
      </c>
      <c r="D204" s="4" t="s">
        <v>389</v>
      </c>
      <c r="E204" s="4" t="s">
        <v>528</v>
      </c>
      <c r="F204" s="4">
        <v>19</v>
      </c>
    </row>
    <row r="205" spans="1:6" x14ac:dyDescent="0.45">
      <c r="A205" t="s">
        <v>529</v>
      </c>
      <c r="B205" t="str">
        <f>_xlfn.REGEXREPLACE([1]query1!B205, "https://doi.org/", "")</f>
        <v>10.3390/electronics14010120</v>
      </c>
      <c r="C205">
        <v>16</v>
      </c>
      <c r="D205" s="4" t="s">
        <v>530</v>
      </c>
      <c r="E205" s="4" t="s">
        <v>531</v>
      </c>
      <c r="F205" s="4">
        <v>19</v>
      </c>
    </row>
    <row r="206" spans="1:6" x14ac:dyDescent="0.45">
      <c r="A206" t="s">
        <v>532</v>
      </c>
      <c r="B206" t="str">
        <f>_xlfn.REGEXREPLACE([1]query1!B206, "https://doi.org/", "")</f>
        <v>10.5194/gmd-14-239-2021</v>
      </c>
      <c r="C206">
        <v>16</v>
      </c>
      <c r="D206" s="4" t="s">
        <v>311</v>
      </c>
      <c r="E206" s="4" t="s">
        <v>533</v>
      </c>
      <c r="F206" s="4">
        <v>19</v>
      </c>
    </row>
    <row r="207" spans="1:6" x14ac:dyDescent="0.45">
      <c r="A207" t="s">
        <v>534</v>
      </c>
      <c r="B207" t="str">
        <f>_xlfn.REGEXREPLACE([1]query1!B207, "https://doi.org/", "")</f>
        <v>10.1109/tvt.2024.3369089</v>
      </c>
      <c r="C207">
        <v>16</v>
      </c>
      <c r="D207" s="4" t="s">
        <v>535</v>
      </c>
      <c r="E207" s="4" t="s">
        <v>536</v>
      </c>
      <c r="F207" s="4">
        <v>19</v>
      </c>
    </row>
    <row r="208" spans="1:6" x14ac:dyDescent="0.45">
      <c r="A208" t="s">
        <v>537</v>
      </c>
      <c r="B208" t="str">
        <f>_xlfn.REGEXREPLACE([1]query1!B208, "https://doi.org/", "")</f>
        <v>10.1021/acs.inorgchem.1c00152</v>
      </c>
      <c r="C208">
        <v>16</v>
      </c>
      <c r="D208" s="4" t="s">
        <v>538</v>
      </c>
      <c r="E208" s="4"/>
      <c r="F208" s="4">
        <v>19</v>
      </c>
    </row>
    <row r="209" spans="1:6" x14ac:dyDescent="0.45">
      <c r="A209" t="s">
        <v>539</v>
      </c>
      <c r="B209" t="str">
        <f>_xlfn.REGEXREPLACE([1]query1!B209, "https://doi.org/", "")</f>
        <v>10.1007/s12665-021-09728-x</v>
      </c>
      <c r="C209">
        <v>15</v>
      </c>
      <c r="D209" s="4" t="s">
        <v>540</v>
      </c>
      <c r="E209" s="4" t="s">
        <v>541</v>
      </c>
      <c r="F209" s="4">
        <v>19</v>
      </c>
    </row>
    <row r="210" spans="1:6" x14ac:dyDescent="0.45">
      <c r="A210" t="s">
        <v>542</v>
      </c>
      <c r="B210" t="str">
        <f>_xlfn.REGEXREPLACE([1]query1!B210, "https://doi.org/", "")</f>
        <v>10.5194/tc-16-3393-2022</v>
      </c>
      <c r="C210">
        <v>15</v>
      </c>
      <c r="D210" s="4" t="s">
        <v>475</v>
      </c>
      <c r="E210" s="4" t="s">
        <v>543</v>
      </c>
      <c r="F210" s="4">
        <v>19</v>
      </c>
    </row>
    <row r="211" spans="1:6" x14ac:dyDescent="0.45">
      <c r="A211" t="s">
        <v>544</v>
      </c>
      <c r="B211" t="str">
        <f>_xlfn.REGEXREPLACE([1]query1!B211, "https://doi.org/", "")</f>
        <v>10.1109/icra48506.2021.9560914</v>
      </c>
      <c r="C211">
        <v>15</v>
      </c>
      <c r="D211" s="4" t="s">
        <v>493</v>
      </c>
      <c r="E211" s="4" t="s">
        <v>545</v>
      </c>
      <c r="F211" s="4">
        <v>19</v>
      </c>
    </row>
    <row r="212" spans="1:6" x14ac:dyDescent="0.45">
      <c r="A212" t="s">
        <v>546</v>
      </c>
      <c r="B212" t="str">
        <f>_xlfn.REGEXREPLACE([1]query1!B212, "https://doi.org/", "")</f>
        <v>10.1021/acs.macromol.0c00978</v>
      </c>
      <c r="C212">
        <v>15</v>
      </c>
      <c r="D212" s="4" t="s">
        <v>421</v>
      </c>
      <c r="E212" s="4" t="s">
        <v>547</v>
      </c>
      <c r="F212" s="4">
        <v>19</v>
      </c>
    </row>
    <row r="213" spans="1:6" x14ac:dyDescent="0.45">
      <c r="A213" t="s">
        <v>548</v>
      </c>
      <c r="B213" t="str">
        <f>_xlfn.REGEXREPLACE([1]query1!B213, "https://doi.org/", "")</f>
        <v>10.1103/physrevresearch.2.033520</v>
      </c>
      <c r="C213">
        <v>15</v>
      </c>
      <c r="D213" s="4" t="s">
        <v>549</v>
      </c>
      <c r="E213" s="4" t="s">
        <v>550</v>
      </c>
      <c r="F213" s="4">
        <v>19</v>
      </c>
    </row>
    <row r="214" spans="1:6" x14ac:dyDescent="0.45">
      <c r="A214" t="s">
        <v>551</v>
      </c>
      <c r="B214" t="str">
        <f>_xlfn.REGEXREPLACE([1]query1!B214, "https://doi.org/", "")</f>
        <v>10.1002/cjs.11677</v>
      </c>
      <c r="C214">
        <v>15</v>
      </c>
      <c r="D214" s="4" t="s">
        <v>552</v>
      </c>
      <c r="E214" s="4" t="s">
        <v>553</v>
      </c>
      <c r="F214" s="4">
        <v>19</v>
      </c>
    </row>
    <row r="215" spans="1:6" x14ac:dyDescent="0.45">
      <c r="A215" t="s">
        <v>554</v>
      </c>
      <c r="B215" t="str">
        <f>_xlfn.REGEXREPLACE([1]query1!B215, "https://doi.org/", "")</f>
        <v>10.1007/s00170-021-08322-6</v>
      </c>
      <c r="C215">
        <v>15</v>
      </c>
      <c r="D215" s="4" t="s">
        <v>555</v>
      </c>
      <c r="E215" s="4" t="s">
        <v>556</v>
      </c>
      <c r="F215" s="4">
        <v>18</v>
      </c>
    </row>
    <row r="216" spans="1:6" x14ac:dyDescent="0.45">
      <c r="A216" t="s">
        <v>557</v>
      </c>
      <c r="B216" t="str">
        <f>_xlfn.REGEXREPLACE([1]query1!B216, "https://doi.org/", "")</f>
        <v>10.1016/j.tranpol.2021.12.012</v>
      </c>
      <c r="C216">
        <v>15</v>
      </c>
      <c r="D216" s="4" t="s">
        <v>558</v>
      </c>
      <c r="E216" s="4" t="s">
        <v>559</v>
      </c>
      <c r="F216" s="4">
        <v>18</v>
      </c>
    </row>
    <row r="217" spans="1:6" x14ac:dyDescent="0.45">
      <c r="A217" t="s">
        <v>560</v>
      </c>
      <c r="B217" t="str">
        <f>_xlfn.REGEXREPLACE([1]query1!B217, "https://doi.org/", "")</f>
        <v>10.3847/1538-4357/ad4ee2</v>
      </c>
      <c r="C217">
        <v>15</v>
      </c>
      <c r="D217" s="4" t="s">
        <v>561</v>
      </c>
      <c r="E217" s="4" t="s">
        <v>562</v>
      </c>
      <c r="F217" s="4">
        <v>18</v>
      </c>
    </row>
    <row r="218" spans="1:6" x14ac:dyDescent="0.45">
      <c r="A218" t="s">
        <v>563</v>
      </c>
      <c r="B218" t="str">
        <f>_xlfn.REGEXREPLACE([1]query1!B218, "https://doi.org/", "")</f>
        <v>10.1007/978-3-030-44051-0_34</v>
      </c>
      <c r="C218">
        <v>14</v>
      </c>
      <c r="D218" s="4" t="s">
        <v>368</v>
      </c>
      <c r="E218" s="4" t="s">
        <v>564</v>
      </c>
      <c r="F218" s="4">
        <v>18</v>
      </c>
    </row>
    <row r="219" spans="1:6" x14ac:dyDescent="0.45">
      <c r="A219" t="s">
        <v>565</v>
      </c>
      <c r="B219" t="str">
        <f>_xlfn.REGEXREPLACE([1]query1!B219, "https://doi.org/", "")</f>
        <v>10.1145/3382507.3418820</v>
      </c>
      <c r="C219">
        <v>14</v>
      </c>
      <c r="D219" s="4" t="s">
        <v>512</v>
      </c>
      <c r="E219" s="4" t="s">
        <v>566</v>
      </c>
      <c r="F219" s="4">
        <v>18</v>
      </c>
    </row>
    <row r="220" spans="1:6" x14ac:dyDescent="0.45">
      <c r="A220" t="s">
        <v>567</v>
      </c>
      <c r="B220" t="str">
        <f>_xlfn.REGEXREPLACE([1]query1!B220, "https://doi.org/", "")</f>
        <v>10.1109/mcg.2024.3352349</v>
      </c>
      <c r="C220">
        <v>14</v>
      </c>
      <c r="D220" s="4" t="s">
        <v>568</v>
      </c>
      <c r="E220" s="4" t="s">
        <v>569</v>
      </c>
      <c r="F220" s="4">
        <v>18</v>
      </c>
    </row>
    <row r="221" spans="1:6" x14ac:dyDescent="0.45">
      <c r="A221" t="s">
        <v>570</v>
      </c>
      <c r="B221" t="str">
        <f>_xlfn.REGEXREPLACE([1]query1!B221, "https://doi.org/", "")</f>
        <v>10.3390/s21010225</v>
      </c>
      <c r="C221">
        <v>14</v>
      </c>
      <c r="D221" s="4" t="s">
        <v>347</v>
      </c>
      <c r="E221" s="4" t="s">
        <v>571</v>
      </c>
      <c r="F221" s="4">
        <v>18</v>
      </c>
    </row>
    <row r="222" spans="1:6" x14ac:dyDescent="0.45">
      <c r="A222" t="s">
        <v>572</v>
      </c>
      <c r="B222" t="str">
        <f>_xlfn.REGEXREPLACE([1]query1!B222, "https://doi.org/", "")</f>
        <v>10.1109/ojcoms.2020.3038197</v>
      </c>
      <c r="C222">
        <v>14</v>
      </c>
      <c r="D222" s="4" t="s">
        <v>573</v>
      </c>
      <c r="E222" s="4" t="s">
        <v>574</v>
      </c>
      <c r="F222" s="4">
        <v>18</v>
      </c>
    </row>
    <row r="223" spans="1:6" x14ac:dyDescent="0.45">
      <c r="A223" t="s">
        <v>575</v>
      </c>
      <c r="B223" t="str">
        <f>_xlfn.REGEXREPLACE([1]query1!B223, "https://doi.org/", "")</f>
        <v>10.1080/10618600.2020.1713797</v>
      </c>
      <c r="C223">
        <v>14</v>
      </c>
      <c r="D223" s="4" t="s">
        <v>386</v>
      </c>
      <c r="E223" s="4" t="s">
        <v>576</v>
      </c>
      <c r="F223" s="4">
        <v>18</v>
      </c>
    </row>
    <row r="224" spans="1:6" x14ac:dyDescent="0.45">
      <c r="A224" t="s">
        <v>577</v>
      </c>
      <c r="B224" t="str">
        <f>_xlfn.REGEXREPLACE([1]query1!B224, "https://doi.org/", "")</f>
        <v>10.1088/1361-6528/ab72b6</v>
      </c>
      <c r="C224">
        <v>14</v>
      </c>
      <c r="D224" s="4" t="s">
        <v>578</v>
      </c>
      <c r="E224" s="4" t="s">
        <v>579</v>
      </c>
      <c r="F224" s="4">
        <v>18</v>
      </c>
    </row>
    <row r="225" spans="1:6" x14ac:dyDescent="0.45">
      <c r="A225" t="s">
        <v>580</v>
      </c>
      <c r="B225" t="str">
        <f>_xlfn.REGEXREPLACE([1]query1!B225, "https://doi.org/", "")</f>
        <v>10.1109/tpel.2024.3416928</v>
      </c>
      <c r="C225">
        <v>14</v>
      </c>
      <c r="D225" s="4" t="s">
        <v>490</v>
      </c>
      <c r="E225" s="4" t="s">
        <v>581</v>
      </c>
      <c r="F225" s="4">
        <v>18</v>
      </c>
    </row>
    <row r="226" spans="1:6" x14ac:dyDescent="0.45">
      <c r="A226" t="s">
        <v>486</v>
      </c>
      <c r="B226" t="str">
        <f>_xlfn.REGEXREPLACE([1]query1!B226, "https://doi.org/", "")</f>
        <v>10.1007/s11071-023-08787-y</v>
      </c>
      <c r="C226">
        <v>14</v>
      </c>
      <c r="D226" s="4" t="s">
        <v>582</v>
      </c>
      <c r="E226" s="4" t="s">
        <v>583</v>
      </c>
      <c r="F226" s="4">
        <v>18</v>
      </c>
    </row>
    <row r="227" spans="1:6" x14ac:dyDescent="0.45">
      <c r="A227" t="s">
        <v>584</v>
      </c>
      <c r="B227" t="str">
        <f>_xlfn.REGEXREPLACE([1]query1!B227, "https://doi.org/", "")</f>
        <v>10.1029/2021jf006194</v>
      </c>
      <c r="C227">
        <v>14</v>
      </c>
      <c r="D227" s="4" t="s">
        <v>585</v>
      </c>
      <c r="E227" s="4" t="s">
        <v>586</v>
      </c>
      <c r="F227" s="4">
        <v>18</v>
      </c>
    </row>
    <row r="228" spans="1:6" x14ac:dyDescent="0.45">
      <c r="A228" t="s">
        <v>587</v>
      </c>
      <c r="B228" t="str">
        <f>_xlfn.REGEXREPLACE([1]query1!B228, "https://doi.org/", "")</f>
        <v>10.5334/bc.71</v>
      </c>
      <c r="C228">
        <v>14</v>
      </c>
      <c r="D228" s="4" t="s">
        <v>588</v>
      </c>
      <c r="E228" s="4" t="s">
        <v>589</v>
      </c>
      <c r="F228" s="4">
        <v>17</v>
      </c>
    </row>
    <row r="229" spans="1:6" x14ac:dyDescent="0.45">
      <c r="A229" t="s">
        <v>590</v>
      </c>
      <c r="B229" t="str">
        <f>_xlfn.REGEXREPLACE([1]query1!B229, "https://doi.org/", "")</f>
        <v>10.1109/tie.2023.3310008</v>
      </c>
      <c r="C229">
        <v>14</v>
      </c>
      <c r="D229" s="4" t="s">
        <v>534</v>
      </c>
      <c r="E229" s="4" t="s">
        <v>591</v>
      </c>
      <c r="F229" s="4">
        <v>17</v>
      </c>
    </row>
    <row r="230" spans="1:6" x14ac:dyDescent="0.45">
      <c r="A230" t="s">
        <v>592</v>
      </c>
      <c r="B230" t="str">
        <f>_xlfn.REGEXREPLACE([1]query1!B230, "https://doi.org/", "")</f>
        <v>10.1103/physreve.103.022140</v>
      </c>
      <c r="C230">
        <v>13</v>
      </c>
      <c r="D230" s="4" t="s">
        <v>593</v>
      </c>
      <c r="E230" s="4" t="s">
        <v>594</v>
      </c>
      <c r="F230" s="4">
        <v>17</v>
      </c>
    </row>
    <row r="231" spans="1:6" x14ac:dyDescent="0.45">
      <c r="A231" t="s">
        <v>595</v>
      </c>
      <c r="B231" t="str">
        <f>_xlfn.REGEXREPLACE([1]query1!B231, "https://doi.org/", "")</f>
        <v>10.1029/2021gl095500</v>
      </c>
      <c r="C231">
        <v>13</v>
      </c>
      <c r="D231" s="4" t="s">
        <v>596</v>
      </c>
      <c r="E231" s="4" t="s">
        <v>597</v>
      </c>
      <c r="F231" s="4">
        <v>17</v>
      </c>
    </row>
    <row r="232" spans="1:6" x14ac:dyDescent="0.45">
      <c r="A232" t="s">
        <v>598</v>
      </c>
      <c r="B232" t="str">
        <f>_xlfn.REGEXREPLACE([1]query1!B232, "https://doi.org/", "")</f>
        <v>10.1093/mnras/stab840</v>
      </c>
      <c r="C232">
        <v>13</v>
      </c>
      <c r="D232" s="4" t="s">
        <v>599</v>
      </c>
      <c r="E232" s="4" t="s">
        <v>600</v>
      </c>
      <c r="F232" s="4">
        <v>17</v>
      </c>
    </row>
    <row r="233" spans="1:6" x14ac:dyDescent="0.45">
      <c r="A233" t="s">
        <v>601</v>
      </c>
      <c r="B233" t="str">
        <f>_xlfn.REGEXREPLACE([1]query1!B233, "https://doi.org/", "")</f>
        <v>10.1007/s40121-023-00830-0</v>
      </c>
      <c r="C233">
        <v>13</v>
      </c>
      <c r="D233" s="4" t="s">
        <v>419</v>
      </c>
      <c r="E233" s="4" t="s">
        <v>602</v>
      </c>
      <c r="F233" s="4">
        <v>17</v>
      </c>
    </row>
    <row r="234" spans="1:6" x14ac:dyDescent="0.45">
      <c r="A234" t="s">
        <v>603</v>
      </c>
      <c r="B234" t="str">
        <f>_xlfn.REGEXREPLACE([1]query1!B234, "https://doi.org/", "")</f>
        <v>10.1140/epjs/s11734-022-00608-4</v>
      </c>
      <c r="C234">
        <v>13</v>
      </c>
      <c r="D234" s="4" t="s">
        <v>326</v>
      </c>
      <c r="E234" s="4" t="s">
        <v>604</v>
      </c>
      <c r="F234" s="4">
        <v>17</v>
      </c>
    </row>
    <row r="235" spans="1:6" x14ac:dyDescent="0.45">
      <c r="A235" t="s">
        <v>605</v>
      </c>
      <c r="B235" t="str">
        <f>_xlfn.REGEXREPLACE([1]query1!B235, "https://doi.org/", "")</f>
        <v>10.1007/s00477-022-02261-8</v>
      </c>
      <c r="C235">
        <v>13</v>
      </c>
      <c r="D235" s="4" t="s">
        <v>606</v>
      </c>
      <c r="E235" s="4" t="s">
        <v>607</v>
      </c>
      <c r="F235" s="4">
        <v>17</v>
      </c>
    </row>
    <row r="236" spans="1:6" x14ac:dyDescent="0.45">
      <c r="A236" t="s">
        <v>608</v>
      </c>
      <c r="B236" t="str">
        <f>_xlfn.REGEXREPLACE([1]query1!B236, "https://doi.org/", "")</f>
        <v>10.1007/s42519-021-00217-9</v>
      </c>
      <c r="C236">
        <v>13</v>
      </c>
      <c r="D236" s="4" t="s">
        <v>297</v>
      </c>
      <c r="E236" s="4" t="s">
        <v>609</v>
      </c>
      <c r="F236" s="4">
        <v>17</v>
      </c>
    </row>
    <row r="237" spans="1:6" x14ac:dyDescent="0.45">
      <c r="A237" t="s">
        <v>610</v>
      </c>
      <c r="B237" t="str">
        <f>_xlfn.REGEXREPLACE([1]query1!B237, "https://doi.org/", "")</f>
        <v>10.1007/s13253-022-00495-1</v>
      </c>
      <c r="C237">
        <v>13</v>
      </c>
      <c r="D237" s="4" t="s">
        <v>461</v>
      </c>
      <c r="E237" s="4" t="s">
        <v>611</v>
      </c>
      <c r="F237" s="4">
        <v>17</v>
      </c>
    </row>
    <row r="238" spans="1:6" x14ac:dyDescent="0.45">
      <c r="A238" t="s">
        <v>612</v>
      </c>
      <c r="B238" t="str">
        <f>_xlfn.REGEXREPLACE([1]query1!B238, "https://doi.org/", "")</f>
        <v>10.1007/s11222-021-10066-y</v>
      </c>
      <c r="C238">
        <v>13</v>
      </c>
      <c r="D238" s="4" t="s">
        <v>613</v>
      </c>
      <c r="E238" s="4" t="s">
        <v>614</v>
      </c>
      <c r="F238" s="4">
        <v>17</v>
      </c>
    </row>
    <row r="239" spans="1:6" x14ac:dyDescent="0.45">
      <c r="A239" t="s">
        <v>615</v>
      </c>
      <c r="B239" t="str">
        <f>_xlfn.REGEXREPLACE([1]query1!B239, "https://doi.org/", "")</f>
        <v>10.1080/01621459.2021.1990766</v>
      </c>
      <c r="C239">
        <v>13</v>
      </c>
      <c r="D239" s="4" t="s">
        <v>435</v>
      </c>
      <c r="E239" s="4" t="s">
        <v>616</v>
      </c>
      <c r="F239" s="4">
        <v>17</v>
      </c>
    </row>
    <row r="240" spans="1:6" x14ac:dyDescent="0.45">
      <c r="A240" t="s">
        <v>617</v>
      </c>
      <c r="B240" t="str">
        <f>_xlfn.REGEXREPLACE([1]query1!B240, "https://doi.org/", "")</f>
        <v>10.1111/biom.13836</v>
      </c>
      <c r="C240">
        <v>13</v>
      </c>
      <c r="D240" s="4" t="s">
        <v>432</v>
      </c>
      <c r="E240" s="4" t="s">
        <v>618</v>
      </c>
      <c r="F240" s="4">
        <v>17</v>
      </c>
    </row>
    <row r="241" spans="1:6" x14ac:dyDescent="0.45">
      <c r="A241" t="s">
        <v>619</v>
      </c>
      <c r="B241" t="str">
        <f>_xlfn.REGEXREPLACE([1]query1!B241, "https://doi.org/", "")</f>
        <v>10.35833/mpce.2022.000088</v>
      </c>
      <c r="C241">
        <v>13</v>
      </c>
      <c r="D241" s="4" t="s">
        <v>457</v>
      </c>
      <c r="E241" s="4" t="s">
        <v>620</v>
      </c>
      <c r="F241" s="4">
        <v>17</v>
      </c>
    </row>
    <row r="242" spans="1:6" x14ac:dyDescent="0.45">
      <c r="A242" t="s">
        <v>621</v>
      </c>
      <c r="B242" t="str">
        <f>_xlfn.REGEXREPLACE([1]query1!B242, "https://doi.org/", "")</f>
        <v>10.1177/09622802211037070</v>
      </c>
      <c r="C242">
        <v>13</v>
      </c>
      <c r="D242" s="4" t="s">
        <v>622</v>
      </c>
      <c r="E242" s="4" t="s">
        <v>623</v>
      </c>
      <c r="F242" s="4">
        <v>17</v>
      </c>
    </row>
    <row r="243" spans="1:6" x14ac:dyDescent="0.45">
      <c r="A243" t="s">
        <v>624</v>
      </c>
      <c r="B243" t="str">
        <f>_xlfn.REGEXREPLACE([1]query1!B243, "https://doi.org/", "")</f>
        <v>10.5194/bg-2019-492</v>
      </c>
      <c r="C243">
        <v>13</v>
      </c>
      <c r="D243" s="4" t="s">
        <v>625</v>
      </c>
      <c r="E243" s="4" t="s">
        <v>626</v>
      </c>
      <c r="F243" s="4">
        <v>17</v>
      </c>
    </row>
    <row r="244" spans="1:6" x14ac:dyDescent="0.45">
      <c r="A244" t="s">
        <v>627</v>
      </c>
      <c r="B244" t="str">
        <f>_xlfn.REGEXREPLACE([1]query1!B244, "https://doi.org/", "")</f>
        <v>10.3847/1538-4357/ac63ab</v>
      </c>
      <c r="C244">
        <v>13</v>
      </c>
      <c r="D244" s="4" t="s">
        <v>628</v>
      </c>
      <c r="E244" s="4" t="s">
        <v>629</v>
      </c>
      <c r="F244" s="4">
        <v>17</v>
      </c>
    </row>
    <row r="245" spans="1:6" x14ac:dyDescent="0.45">
      <c r="A245" t="s">
        <v>630</v>
      </c>
      <c r="B245" t="str">
        <f>_xlfn.REGEXREPLACE([1]query1!B245, "https://doi.org/", "")</f>
        <v>10.1080/01621459.2021.1933496</v>
      </c>
      <c r="C245">
        <v>13</v>
      </c>
      <c r="D245" s="4" t="s">
        <v>447</v>
      </c>
      <c r="E245" s="4" t="s">
        <v>631</v>
      </c>
      <c r="F245" s="4">
        <v>17</v>
      </c>
    </row>
    <row r="246" spans="1:6" x14ac:dyDescent="0.45">
      <c r="A246" t="s">
        <v>632</v>
      </c>
      <c r="B246" t="str">
        <f>_xlfn.REGEXREPLACE([1]query1!B246, "https://doi.org/", "")</f>
        <v>10.1109/smc42975.2020.9283219</v>
      </c>
      <c r="C246">
        <v>12</v>
      </c>
      <c r="D246" s="4" t="s">
        <v>633</v>
      </c>
      <c r="E246" s="4" t="s">
        <v>634</v>
      </c>
      <c r="F246" s="4">
        <v>16</v>
      </c>
    </row>
    <row r="247" spans="1:6" x14ac:dyDescent="0.45">
      <c r="A247" t="s">
        <v>635</v>
      </c>
      <c r="B247" t="str">
        <f>_xlfn.REGEXREPLACE([1]query1!B247, "https://doi.org/", "")</f>
        <v>10.1017/aog.2020.2</v>
      </c>
      <c r="C247">
        <v>12</v>
      </c>
      <c r="D247" s="4" t="s">
        <v>590</v>
      </c>
      <c r="E247" s="4" t="s">
        <v>636</v>
      </c>
      <c r="F247" s="4">
        <v>16</v>
      </c>
    </row>
    <row r="248" spans="1:6" x14ac:dyDescent="0.45">
      <c r="A248" t="s">
        <v>637</v>
      </c>
      <c r="B248" t="str">
        <f>_xlfn.REGEXREPLACE([1]query1!B248, "https://doi.org/", "")</f>
        <v>10.1057/s42214-023-00177-w</v>
      </c>
      <c r="C248">
        <v>12</v>
      </c>
      <c r="D248" s="4" t="s">
        <v>638</v>
      </c>
      <c r="E248" s="4" t="s">
        <v>639</v>
      </c>
      <c r="F248" s="4">
        <v>16</v>
      </c>
    </row>
    <row r="249" spans="1:6" x14ac:dyDescent="0.45">
      <c r="A249" t="s">
        <v>640</v>
      </c>
      <c r="B249" t="str">
        <f>_xlfn.REGEXREPLACE([1]query1!B249, "https://doi.org/", "")</f>
        <v>10.5194/nhess-24-2093-2024</v>
      </c>
      <c r="C249">
        <v>12</v>
      </c>
      <c r="D249" s="4" t="s">
        <v>523</v>
      </c>
      <c r="E249" s="4" t="s">
        <v>641</v>
      </c>
      <c r="F249" s="4">
        <v>16</v>
      </c>
    </row>
    <row r="250" spans="1:6" x14ac:dyDescent="0.45">
      <c r="A250" t="s">
        <v>642</v>
      </c>
      <c r="B250" t="str">
        <f>_xlfn.REGEXREPLACE([1]query1!B250, "https://doi.org/", "")</f>
        <v>10.1021/acs.jpcb.1c02821</v>
      </c>
      <c r="C250">
        <v>12</v>
      </c>
      <c r="D250" s="4" t="s">
        <v>352</v>
      </c>
      <c r="E250" s="4" t="s">
        <v>643</v>
      </c>
      <c r="F250" s="4">
        <v>16</v>
      </c>
    </row>
    <row r="251" spans="1:6" x14ac:dyDescent="0.45">
      <c r="A251" t="s">
        <v>644</v>
      </c>
      <c r="B251" t="str">
        <f>_xlfn.REGEXREPLACE([1]query1!B251, "https://doi.org/", "")</f>
        <v>10.1371/journal.pone.0259877</v>
      </c>
      <c r="C251">
        <v>12</v>
      </c>
      <c r="D251" s="4" t="s">
        <v>499</v>
      </c>
      <c r="E251" s="4" t="s">
        <v>645</v>
      </c>
      <c r="F251" s="4">
        <v>16</v>
      </c>
    </row>
    <row r="252" spans="1:6" x14ac:dyDescent="0.45">
      <c r="A252" t="s">
        <v>646</v>
      </c>
      <c r="B252" t="str">
        <f>_xlfn.REGEXREPLACE([1]query1!B252, "https://doi.org/", "")</f>
        <v>10.1021/acs.inorgchem.2c03671</v>
      </c>
      <c r="C252">
        <v>12</v>
      </c>
      <c r="D252" s="4" t="s">
        <v>647</v>
      </c>
      <c r="E252" s="4" t="s">
        <v>648</v>
      </c>
      <c r="F252" s="4">
        <v>16</v>
      </c>
    </row>
    <row r="253" spans="1:6" x14ac:dyDescent="0.45">
      <c r="A253" t="s">
        <v>649</v>
      </c>
      <c r="B253" t="str">
        <f>_xlfn.REGEXREPLACE([1]query1!B253, "https://doi.org/", "")</f>
        <v>10.1016/j.drugpo.2020.102726</v>
      </c>
      <c r="C253">
        <v>11</v>
      </c>
      <c r="D253" s="4" t="s">
        <v>459</v>
      </c>
      <c r="E253" s="4" t="s">
        <v>650</v>
      </c>
      <c r="F253" s="4">
        <v>16</v>
      </c>
    </row>
    <row r="254" spans="1:6" x14ac:dyDescent="0.45">
      <c r="A254" t="s">
        <v>651</v>
      </c>
      <c r="B254" t="str">
        <f>_xlfn.REGEXREPLACE([1]query1!B254, "https://doi.org/", "")</f>
        <v>10.1145/3570361.3613296</v>
      </c>
      <c r="C254">
        <v>11</v>
      </c>
      <c r="D254" s="4" t="s">
        <v>477</v>
      </c>
      <c r="E254" s="4" t="s">
        <v>652</v>
      </c>
      <c r="F254" s="4">
        <v>16</v>
      </c>
    </row>
    <row r="255" spans="1:6" x14ac:dyDescent="0.45">
      <c r="A255" t="s">
        <v>653</v>
      </c>
      <c r="B255" t="str">
        <f>_xlfn.REGEXREPLACE([1]query1!B255, "https://doi.org/", "")</f>
        <v>10.1109/tifs.2023.3327662</v>
      </c>
      <c r="C255">
        <v>11</v>
      </c>
      <c r="D255" s="4" t="s">
        <v>292</v>
      </c>
      <c r="E255" s="4" t="s">
        <v>654</v>
      </c>
      <c r="F255" s="4">
        <v>16</v>
      </c>
    </row>
    <row r="256" spans="1:6" x14ac:dyDescent="0.45">
      <c r="A256" t="s">
        <v>655</v>
      </c>
      <c r="B256" t="str">
        <f>_xlfn.REGEXREPLACE([1]query1!B256, "https://doi.org/", "")</f>
        <v>10.1016/j.jedc.2022.104387</v>
      </c>
      <c r="C256">
        <v>11</v>
      </c>
      <c r="D256" s="4" t="s">
        <v>656</v>
      </c>
      <c r="E256" s="4" t="s">
        <v>657</v>
      </c>
      <c r="F256" s="4">
        <v>16</v>
      </c>
    </row>
    <row r="257" spans="1:6" x14ac:dyDescent="0.45">
      <c r="A257" t="s">
        <v>658</v>
      </c>
      <c r="B257" t="str">
        <f>_xlfn.REGEXREPLACE([1]query1!B257, "https://doi.org/", "")</f>
        <v>10.1002/sta4.390</v>
      </c>
      <c r="C257">
        <v>11</v>
      </c>
      <c r="D257" s="4" t="s">
        <v>544</v>
      </c>
      <c r="E257" s="4" t="s">
        <v>659</v>
      </c>
      <c r="F257" s="4">
        <v>16</v>
      </c>
    </row>
    <row r="258" spans="1:6" x14ac:dyDescent="0.45">
      <c r="A258" t="s">
        <v>660</v>
      </c>
      <c r="B258" t="str">
        <f>_xlfn.REGEXREPLACE([1]query1!B258, "https://doi.org/", "")</f>
        <v>10.48550/arxiv.2104.02009</v>
      </c>
      <c r="C258">
        <v>11</v>
      </c>
      <c r="D258" s="4" t="s">
        <v>323</v>
      </c>
      <c r="E258" s="4" t="s">
        <v>661</v>
      </c>
      <c r="F258" s="4">
        <v>16</v>
      </c>
    </row>
    <row r="259" spans="1:6" x14ac:dyDescent="0.45">
      <c r="A259" t="s">
        <v>662</v>
      </c>
      <c r="B259" t="str">
        <f>_xlfn.REGEXREPLACE([1]query1!B259, "https://doi.org/", "")</f>
        <v>10.3982/ecta19636</v>
      </c>
      <c r="C259">
        <v>11</v>
      </c>
      <c r="D259" s="4" t="s">
        <v>548</v>
      </c>
      <c r="E259" s="4" t="s">
        <v>663</v>
      </c>
      <c r="F259" s="4">
        <v>16</v>
      </c>
    </row>
    <row r="260" spans="1:6" x14ac:dyDescent="0.45">
      <c r="A260" t="s">
        <v>664</v>
      </c>
      <c r="B260" t="str">
        <f>_xlfn.REGEXREPLACE([1]query1!B260, "https://doi.org/", "")</f>
        <v>10.1364/oe.421008</v>
      </c>
      <c r="C260">
        <v>11</v>
      </c>
      <c r="D260" s="4" t="s">
        <v>665</v>
      </c>
      <c r="E260" s="4" t="s">
        <v>666</v>
      </c>
      <c r="F260" s="4">
        <v>16</v>
      </c>
    </row>
    <row r="261" spans="1:6" x14ac:dyDescent="0.45">
      <c r="A261" t="s">
        <v>667</v>
      </c>
      <c r="B261" t="str">
        <f>_xlfn.REGEXREPLACE([1]query1!B261, "https://doi.org/", "")</f>
        <v>10.1007/s10708-022-10776-4</v>
      </c>
      <c r="C261">
        <v>11</v>
      </c>
      <c r="D261" s="4" t="s">
        <v>560</v>
      </c>
      <c r="E261" s="4" t="s">
        <v>668</v>
      </c>
      <c r="F261" s="4">
        <v>15</v>
      </c>
    </row>
    <row r="262" spans="1:6" x14ac:dyDescent="0.45">
      <c r="A262" t="s">
        <v>669</v>
      </c>
      <c r="B262" t="str">
        <f>_xlfn.REGEXREPLACE([1]query1!B262, "https://doi.org/", "")</f>
        <v>10.1038/s41467-023-40795-9</v>
      </c>
      <c r="C262">
        <v>11</v>
      </c>
      <c r="D262" s="4" t="s">
        <v>527</v>
      </c>
      <c r="E262" s="4" t="s">
        <v>670</v>
      </c>
      <c r="F262" s="4">
        <v>15</v>
      </c>
    </row>
    <row r="263" spans="1:6" x14ac:dyDescent="0.45">
      <c r="A263" t="s">
        <v>671</v>
      </c>
      <c r="B263" t="str">
        <f>_xlfn.REGEXREPLACE([1]query1!B263, "https://doi.org/", "")</f>
        <v>10.1109/tgrs.2021.3089131</v>
      </c>
      <c r="C263">
        <v>11</v>
      </c>
      <c r="D263" s="4" t="s">
        <v>485</v>
      </c>
      <c r="E263" s="4" t="s">
        <v>672</v>
      </c>
      <c r="F263" s="4">
        <v>15</v>
      </c>
    </row>
    <row r="264" spans="1:6" x14ac:dyDescent="0.45">
      <c r="A264" t="s">
        <v>673</v>
      </c>
      <c r="B264" t="str">
        <f>_xlfn.REGEXREPLACE([1]query1!B264, "https://doi.org/", "")</f>
        <v>10.1016/j.bpj.2021.05.011</v>
      </c>
      <c r="C264">
        <v>11</v>
      </c>
      <c r="D264" s="4" t="s">
        <v>406</v>
      </c>
      <c r="E264" s="4" t="s">
        <v>674</v>
      </c>
      <c r="F264" s="4">
        <v>15</v>
      </c>
    </row>
    <row r="265" spans="1:6" x14ac:dyDescent="0.45">
      <c r="A265" t="s">
        <v>675</v>
      </c>
      <c r="B265" t="str">
        <f>_xlfn.REGEXREPLACE([1]query1!B265, "https://doi.org/", "")</f>
        <v>10.1111/poms.13293</v>
      </c>
      <c r="C265">
        <v>11</v>
      </c>
      <c r="D265" s="4" t="s">
        <v>520</v>
      </c>
      <c r="E265" s="4" t="s">
        <v>676</v>
      </c>
      <c r="F265" s="4">
        <v>15</v>
      </c>
    </row>
    <row r="266" spans="1:6" x14ac:dyDescent="0.45">
      <c r="A266" t="s">
        <v>677</v>
      </c>
      <c r="B266" t="str">
        <f>_xlfn.REGEXREPLACE([1]query1!B266, "https://doi.org/", "")</f>
        <v>10.1016/j.wace.2021.100388</v>
      </c>
      <c r="C266">
        <v>11</v>
      </c>
      <c r="D266" s="4" t="s">
        <v>678</v>
      </c>
      <c r="E266" s="4" t="s">
        <v>679</v>
      </c>
      <c r="F266" s="4">
        <v>15</v>
      </c>
    </row>
    <row r="267" spans="1:6" x14ac:dyDescent="0.45">
      <c r="A267" t="s">
        <v>680</v>
      </c>
      <c r="B267" t="str">
        <f>_xlfn.REGEXREPLACE([1]query1!B267, "https://doi.org/", "")</f>
        <v>10.1101/2022.05.19.492664</v>
      </c>
      <c r="C267">
        <v>11</v>
      </c>
      <c r="D267" s="4" t="s">
        <v>429</v>
      </c>
      <c r="E267" s="4" t="s">
        <v>681</v>
      </c>
      <c r="F267" s="4">
        <v>15</v>
      </c>
    </row>
    <row r="268" spans="1:6" x14ac:dyDescent="0.45">
      <c r="A268" t="s">
        <v>682</v>
      </c>
      <c r="B268" t="str">
        <f>_xlfn.REGEXREPLACE([1]query1!B268, "https://doi.org/", "")</f>
        <v>10.1175/jamc-d-20-0260.1</v>
      </c>
      <c r="C268">
        <v>11</v>
      </c>
      <c r="D268" s="4" t="s">
        <v>509</v>
      </c>
      <c r="E268" s="4" t="s">
        <v>683</v>
      </c>
      <c r="F268" s="4">
        <v>15</v>
      </c>
    </row>
    <row r="269" spans="1:6" x14ac:dyDescent="0.45">
      <c r="A269" t="s">
        <v>684</v>
      </c>
      <c r="B269" t="str">
        <f>_xlfn.REGEXREPLACE([1]query1!B269, "https://doi.org/", "")</f>
        <v>10.1016/b978-0-12-819354-9.00010-7</v>
      </c>
      <c r="C269">
        <v>11</v>
      </c>
      <c r="D269" s="4" t="s">
        <v>426</v>
      </c>
      <c r="E269" s="4" t="s">
        <v>685</v>
      </c>
      <c r="F269" s="4">
        <v>15</v>
      </c>
    </row>
    <row r="270" spans="1:6" x14ac:dyDescent="0.45">
      <c r="A270" t="s">
        <v>686</v>
      </c>
      <c r="B270" t="str">
        <f>_xlfn.REGEXREPLACE([1]query1!B270, "https://doi.org/", "")</f>
        <v>10.1002/rra.3803</v>
      </c>
      <c r="C270">
        <v>10</v>
      </c>
      <c r="D270" s="4" t="s">
        <v>542</v>
      </c>
      <c r="E270" s="4" t="s">
        <v>687</v>
      </c>
      <c r="F270" s="4">
        <v>15</v>
      </c>
    </row>
    <row r="271" spans="1:6" x14ac:dyDescent="0.45">
      <c r="A271" t="s">
        <v>688</v>
      </c>
      <c r="B271" t="str">
        <f>_xlfn.REGEXREPLACE([1]query1!B271, "https://doi.org/", "")</f>
        <v>10.1016/j.ijmedinf.2020.104348</v>
      </c>
      <c r="C271">
        <v>10</v>
      </c>
      <c r="D271" s="4" t="s">
        <v>551</v>
      </c>
      <c r="E271" s="4" t="s">
        <v>689</v>
      </c>
      <c r="F271" s="4">
        <v>15</v>
      </c>
    </row>
    <row r="272" spans="1:6" x14ac:dyDescent="0.45">
      <c r="A272" t="s">
        <v>690</v>
      </c>
      <c r="B272" t="str">
        <f>_xlfn.REGEXREPLACE([1]query1!B272, "https://doi.org/", "")</f>
        <v>10.1109/lgrs.2024.3354560</v>
      </c>
      <c r="C272">
        <v>10</v>
      </c>
      <c r="D272" s="4" t="s">
        <v>691</v>
      </c>
      <c r="E272" s="4" t="s">
        <v>692</v>
      </c>
      <c r="F272" s="4">
        <v>15</v>
      </c>
    </row>
    <row r="273" spans="1:6" x14ac:dyDescent="0.45">
      <c r="A273" t="s">
        <v>693</v>
      </c>
      <c r="B273" t="str">
        <f>_xlfn.REGEXREPLACE([1]query1!B273, "https://doi.org/", "")</f>
        <v>10.1007/s10346-021-01813-3</v>
      </c>
      <c r="C273">
        <v>10</v>
      </c>
      <c r="D273" s="4" t="s">
        <v>694</v>
      </c>
      <c r="E273" s="4" t="s">
        <v>695</v>
      </c>
      <c r="F273" s="4">
        <v>15</v>
      </c>
    </row>
    <row r="274" spans="1:6" x14ac:dyDescent="0.45">
      <c r="A274" t="s">
        <v>696</v>
      </c>
      <c r="B274" t="str">
        <f>_xlfn.REGEXREPLACE([1]query1!B274, "https://doi.org/", "")</f>
        <v>10.1002/gdj3.257</v>
      </c>
      <c r="C274">
        <v>10</v>
      </c>
      <c r="D274" s="4" t="s">
        <v>119</v>
      </c>
      <c r="E274" s="4" t="s">
        <v>697</v>
      </c>
      <c r="F274" s="4">
        <v>15</v>
      </c>
    </row>
    <row r="275" spans="1:6" x14ac:dyDescent="0.45">
      <c r="A275" t="s">
        <v>698</v>
      </c>
      <c r="B275" t="str">
        <f>_xlfn.REGEXREPLACE([1]query1!B275, "https://doi.org/", "")</f>
        <v>10.1089/cmb.2020.0375</v>
      </c>
      <c r="C275">
        <v>10</v>
      </c>
      <c r="D275" s="4" t="s">
        <v>699</v>
      </c>
      <c r="E275" s="4" t="s">
        <v>700</v>
      </c>
      <c r="F275" s="4">
        <v>15</v>
      </c>
    </row>
    <row r="276" spans="1:6" x14ac:dyDescent="0.45">
      <c r="A276" t="s">
        <v>701</v>
      </c>
      <c r="B276" t="str">
        <f>_xlfn.REGEXREPLACE([1]query1!B276, "https://doi.org/", "")</f>
        <v>10.1175/jcli-d-21-0176.1</v>
      </c>
      <c r="C276">
        <v>10</v>
      </c>
      <c r="D276" s="4" t="s">
        <v>702</v>
      </c>
      <c r="E276" s="4" t="s">
        <v>703</v>
      </c>
      <c r="F276" s="4">
        <v>15</v>
      </c>
    </row>
    <row r="277" spans="1:6" x14ac:dyDescent="0.45">
      <c r="A277" t="s">
        <v>704</v>
      </c>
      <c r="B277" t="str">
        <f>_xlfn.REGEXREPLACE([1]query1!B277, "https://doi.org/", "")</f>
        <v>10.1002/cjs.11661</v>
      </c>
      <c r="C277">
        <v>10</v>
      </c>
      <c r="D277" s="4" t="s">
        <v>684</v>
      </c>
      <c r="E277" s="4" t="s">
        <v>705</v>
      </c>
      <c r="F277" s="4">
        <v>15</v>
      </c>
    </row>
    <row r="278" spans="1:6" x14ac:dyDescent="0.45">
      <c r="A278" t="s">
        <v>706</v>
      </c>
      <c r="B278" t="str">
        <f>_xlfn.REGEXREPLACE([1]query1!B278, "https://doi.org/", "")</f>
        <v>10.1063/1.5139541</v>
      </c>
      <c r="C278">
        <v>10</v>
      </c>
      <c r="D278" s="4" t="s">
        <v>707</v>
      </c>
      <c r="E278" s="4" t="s">
        <v>708</v>
      </c>
      <c r="F278" s="4">
        <v>15</v>
      </c>
    </row>
    <row r="279" spans="1:6" x14ac:dyDescent="0.45">
      <c r="A279" t="s">
        <v>709</v>
      </c>
      <c r="B279" t="str">
        <f>_xlfn.REGEXREPLACE([1]query1!B279, "https://doi.org/", "")</f>
        <v>10.1109/icrae53653.2021.9657767</v>
      </c>
      <c r="C279">
        <v>10</v>
      </c>
      <c r="D279" s="4" t="s">
        <v>546</v>
      </c>
      <c r="E279" s="4" t="s">
        <v>710</v>
      </c>
      <c r="F279" s="4">
        <v>15</v>
      </c>
    </row>
    <row r="280" spans="1:6" x14ac:dyDescent="0.45">
      <c r="A280" t="s">
        <v>711</v>
      </c>
      <c r="B280" t="str">
        <f>_xlfn.REGEXREPLACE([1]query1!B280, "https://doi.org/", "")</f>
        <v>10.1145/3532106.3533538</v>
      </c>
      <c r="C280">
        <v>10</v>
      </c>
      <c r="D280" s="4" t="s">
        <v>712</v>
      </c>
      <c r="E280" s="4" t="s">
        <v>713</v>
      </c>
      <c r="F280" s="4">
        <v>15</v>
      </c>
    </row>
    <row r="281" spans="1:6" x14ac:dyDescent="0.45">
      <c r="A281" t="s">
        <v>349</v>
      </c>
      <c r="B281" t="str">
        <f>_xlfn.REGEXREPLACE([1]query1!B281, "https://doi.org/", "")</f>
        <v>10.1101/2020.09.24.20201178</v>
      </c>
      <c r="C281">
        <v>10</v>
      </c>
      <c r="D281" s="4" t="s">
        <v>714</v>
      </c>
      <c r="E281" s="4" t="s">
        <v>715</v>
      </c>
      <c r="F281" s="4">
        <v>15</v>
      </c>
    </row>
    <row r="282" spans="1:6" x14ac:dyDescent="0.45">
      <c r="A282" t="s">
        <v>716</v>
      </c>
      <c r="B282" t="str">
        <f>_xlfn.REGEXREPLACE([1]query1!B282, "https://doi.org/", "")</f>
        <v>10.1016/j.jeconom.2020.04.017</v>
      </c>
      <c r="C282">
        <v>10</v>
      </c>
      <c r="D282" s="4" t="s">
        <v>717</v>
      </c>
      <c r="E282" s="4" t="s">
        <v>718</v>
      </c>
      <c r="F282" s="4">
        <v>15</v>
      </c>
    </row>
    <row r="283" spans="1:6" x14ac:dyDescent="0.45">
      <c r="A283" t="s">
        <v>719</v>
      </c>
      <c r="B283" t="str">
        <f>_xlfn.REGEXREPLACE([1]query1!B283, "https://doi.org/", "")</f>
        <v>10.1242/jeb.228221</v>
      </c>
      <c r="C283">
        <v>10</v>
      </c>
      <c r="D283" s="4" t="s">
        <v>720</v>
      </c>
      <c r="E283" s="4"/>
      <c r="F283" s="4">
        <v>15</v>
      </c>
    </row>
    <row r="284" spans="1:6" x14ac:dyDescent="0.45">
      <c r="A284" t="s">
        <v>721</v>
      </c>
      <c r="B284" t="str">
        <f>_xlfn.REGEXREPLACE([1]query1!B284, "https://doi.org/", "")</f>
        <v>10.1175/jcli-d-22-0713.1</v>
      </c>
      <c r="C284">
        <v>10</v>
      </c>
      <c r="D284" s="4" t="s">
        <v>722</v>
      </c>
      <c r="E284" s="4" t="s">
        <v>723</v>
      </c>
      <c r="F284" s="4">
        <v>14</v>
      </c>
    </row>
    <row r="285" spans="1:6" x14ac:dyDescent="0.45">
      <c r="A285" t="s">
        <v>724</v>
      </c>
      <c r="B285" t="str">
        <f>_xlfn.REGEXREPLACE([1]query1!B285, "https://doi.org/", "")</f>
        <v>10.1049/pel2.12321</v>
      </c>
      <c r="C285">
        <v>10</v>
      </c>
      <c r="D285" s="4" t="s">
        <v>515</v>
      </c>
      <c r="E285" s="4" t="s">
        <v>725</v>
      </c>
      <c r="F285" s="4">
        <v>14</v>
      </c>
    </row>
    <row r="286" spans="1:6" x14ac:dyDescent="0.45">
      <c r="A286" t="s">
        <v>726</v>
      </c>
      <c r="B286" t="str">
        <f>_xlfn.REGEXREPLACE([1]query1!B286, "https://doi.org/", "")</f>
        <v>10.3389/fphys.2021.628819</v>
      </c>
      <c r="C286">
        <v>10</v>
      </c>
      <c r="D286" s="4" t="s">
        <v>727</v>
      </c>
      <c r="E286" s="4" t="s">
        <v>728</v>
      </c>
      <c r="F286" s="4">
        <v>14</v>
      </c>
    </row>
    <row r="287" spans="1:6" x14ac:dyDescent="0.45">
      <c r="A287" t="s">
        <v>729</v>
      </c>
      <c r="B287" t="str">
        <f>_xlfn.REGEXREPLACE([1]query1!B287, "https://doi.org/", "")</f>
        <v>10.1108/heswbl-08-2020-0182</v>
      </c>
      <c r="C287">
        <v>10</v>
      </c>
      <c r="D287" s="4" t="s">
        <v>619</v>
      </c>
      <c r="E287" s="4" t="s">
        <v>730</v>
      </c>
      <c r="F287" s="4">
        <v>14</v>
      </c>
    </row>
    <row r="288" spans="1:6" x14ac:dyDescent="0.45">
      <c r="A288" t="s">
        <v>731</v>
      </c>
      <c r="B288" t="str">
        <f>_xlfn.REGEXREPLACE([1]query1!B288, "https://doi.org/", "")</f>
        <v>10.1111/poms.13605</v>
      </c>
      <c r="C288">
        <v>10</v>
      </c>
      <c r="D288" s="4" t="s">
        <v>732</v>
      </c>
      <c r="E288" s="4" t="s">
        <v>733</v>
      </c>
      <c r="F288" s="4">
        <v>14</v>
      </c>
    </row>
    <row r="289" spans="1:6" x14ac:dyDescent="0.45">
      <c r="A289" t="s">
        <v>734</v>
      </c>
      <c r="B289" t="str">
        <f>_xlfn.REGEXREPLACE([1]query1!B289, "https://doi.org/", "")</f>
        <v>10.1177/10468781231222969</v>
      </c>
      <c r="C289">
        <v>9</v>
      </c>
      <c r="D289" s="4" t="s">
        <v>452</v>
      </c>
      <c r="E289" s="4" t="s">
        <v>735</v>
      </c>
      <c r="F289" s="4">
        <v>14</v>
      </c>
    </row>
    <row r="290" spans="1:6" x14ac:dyDescent="0.45">
      <c r="A290" t="s">
        <v>736</v>
      </c>
      <c r="B290" t="str">
        <f>_xlfn.REGEXREPLACE([1]query1!B290, "https://doi.org/", "")</f>
        <v>10.5194/egusphere-2023-420</v>
      </c>
      <c r="C290">
        <v>9</v>
      </c>
      <c r="D290" s="4" t="s">
        <v>737</v>
      </c>
      <c r="E290" s="4" t="s">
        <v>738</v>
      </c>
      <c r="F290" s="4">
        <v>14</v>
      </c>
    </row>
    <row r="291" spans="1:6" x14ac:dyDescent="0.45">
      <c r="A291" t="s">
        <v>739</v>
      </c>
      <c r="B291" t="str">
        <f>_xlfn.REGEXREPLACE([1]query1!B291, "https://doi.org/", "")</f>
        <v>10.1002/cjs.11719</v>
      </c>
      <c r="C291">
        <v>9</v>
      </c>
      <c r="D291" s="4" t="s">
        <v>740</v>
      </c>
      <c r="E291" s="4" t="s">
        <v>741</v>
      </c>
      <c r="F291" s="4">
        <v>14</v>
      </c>
    </row>
    <row r="292" spans="1:6" x14ac:dyDescent="0.45">
      <c r="A292" t="s">
        <v>742</v>
      </c>
      <c r="B292" t="str">
        <f>_xlfn.REGEXREPLACE([1]query1!B292, "https://doi.org/", "")</f>
        <v>10.1177/00220345231184181</v>
      </c>
      <c r="C292">
        <v>9</v>
      </c>
      <c r="D292" s="4" t="s">
        <v>468</v>
      </c>
      <c r="E292" s="4" t="s">
        <v>743</v>
      </c>
      <c r="F292" s="4">
        <v>14</v>
      </c>
    </row>
    <row r="293" spans="1:6" x14ac:dyDescent="0.45">
      <c r="A293" t="s">
        <v>744</v>
      </c>
      <c r="B293" t="str">
        <f>_xlfn.REGEXREPLACE([1]query1!B293, "https://doi.org/", "")</f>
        <v>10.1007/s10857-023-09570-x</v>
      </c>
      <c r="C293">
        <v>9</v>
      </c>
      <c r="D293" s="4" t="s">
        <v>539</v>
      </c>
      <c r="E293" s="4" t="s">
        <v>745</v>
      </c>
      <c r="F293" s="4">
        <v>14</v>
      </c>
    </row>
    <row r="294" spans="1:6" x14ac:dyDescent="0.45">
      <c r="A294" t="s">
        <v>746</v>
      </c>
      <c r="B294" t="str">
        <f>_xlfn.REGEXREPLACE([1]query1!B294, "https://doi.org/", "")</f>
        <v>10.1101/2021.03.17.21253488</v>
      </c>
      <c r="C294">
        <v>9</v>
      </c>
      <c r="D294" s="4" t="s">
        <v>747</v>
      </c>
      <c r="E294" s="4" t="s">
        <v>748</v>
      </c>
      <c r="F294" s="4">
        <v>14</v>
      </c>
    </row>
    <row r="295" spans="1:6" x14ac:dyDescent="0.45">
      <c r="A295" t="s">
        <v>749</v>
      </c>
      <c r="B295" t="str">
        <f>_xlfn.REGEXREPLACE([1]query1!B295, "https://doi.org/", "")</f>
        <v>10.3390/s20092477</v>
      </c>
      <c r="C295">
        <v>9</v>
      </c>
      <c r="D295" s="4" t="s">
        <v>750</v>
      </c>
      <c r="E295" s="4" t="s">
        <v>751</v>
      </c>
      <c r="F295" s="4">
        <v>14</v>
      </c>
    </row>
    <row r="296" spans="1:6" x14ac:dyDescent="0.45">
      <c r="A296" t="s">
        <v>752</v>
      </c>
      <c r="B296" t="str">
        <f>_xlfn.REGEXREPLACE([1]query1!B296, "https://doi.org/", "")</f>
        <v>10.1145/3526113.3545640</v>
      </c>
      <c r="C296">
        <v>9</v>
      </c>
      <c r="D296" s="4" t="s">
        <v>575</v>
      </c>
      <c r="E296" s="4" t="s">
        <v>753</v>
      </c>
      <c r="F296" s="4">
        <v>14</v>
      </c>
    </row>
    <row r="297" spans="1:6" x14ac:dyDescent="0.45">
      <c r="A297" t="s">
        <v>754</v>
      </c>
      <c r="B297" t="str">
        <f>_xlfn.REGEXREPLACE([1]query1!B297, "https://doi.org/", "")</f>
        <v>10.1109/access.2020.3040986</v>
      </c>
      <c r="C297">
        <v>9</v>
      </c>
      <c r="D297" s="4" t="s">
        <v>445</v>
      </c>
      <c r="E297" s="4" t="s">
        <v>755</v>
      </c>
      <c r="F297" s="4">
        <v>14</v>
      </c>
    </row>
    <row r="298" spans="1:6" x14ac:dyDescent="0.45">
      <c r="A298" t="s">
        <v>756</v>
      </c>
      <c r="B298" t="str">
        <f>_xlfn.REGEXREPLACE([1]query1!B298, "https://doi.org/", "")</f>
        <v>10.1016/j.ophoto.2024.100080</v>
      </c>
      <c r="C298">
        <v>9</v>
      </c>
      <c r="D298" s="4" t="s">
        <v>113</v>
      </c>
      <c r="E298" s="4" t="s">
        <v>206</v>
      </c>
      <c r="F298" s="4">
        <v>14</v>
      </c>
    </row>
    <row r="299" spans="1:6" x14ac:dyDescent="0.45">
      <c r="A299" t="s">
        <v>757</v>
      </c>
      <c r="B299" t="str">
        <f>_xlfn.REGEXREPLACE([1]query1!B299, "https://doi.org/", "")</f>
        <v>10.1002/env.2784</v>
      </c>
      <c r="C299">
        <v>9</v>
      </c>
      <c r="D299" s="4" t="s">
        <v>758</v>
      </c>
      <c r="E299" s="4" t="s">
        <v>759</v>
      </c>
      <c r="F299" s="4">
        <v>14</v>
      </c>
    </row>
    <row r="300" spans="1:6" x14ac:dyDescent="0.45">
      <c r="A300" t="s">
        <v>760</v>
      </c>
      <c r="B300" t="str">
        <f>_xlfn.REGEXREPLACE([1]query1!B300, "https://doi.org/", "")</f>
        <v>10.1109/ojap.2020.3035196</v>
      </c>
      <c r="C300">
        <v>9</v>
      </c>
      <c r="D300" s="4" t="s">
        <v>761</v>
      </c>
      <c r="E300" s="4" t="s">
        <v>762</v>
      </c>
      <c r="F300" s="4">
        <v>13</v>
      </c>
    </row>
    <row r="301" spans="1:6" x14ac:dyDescent="0.45">
      <c r="A301" t="s">
        <v>763</v>
      </c>
      <c r="B301" t="str">
        <f>_xlfn.REGEXREPLACE([1]query1!B301, "https://doi.org/", "")</f>
        <v>10.1109/access.2024.3417179</v>
      </c>
      <c r="C301">
        <v>9</v>
      </c>
      <c r="D301" s="4" t="s">
        <v>764</v>
      </c>
      <c r="E301" s="4" t="s">
        <v>765</v>
      </c>
      <c r="F301" s="4">
        <v>13</v>
      </c>
    </row>
    <row r="302" spans="1:6" x14ac:dyDescent="0.45">
      <c r="A302" t="s">
        <v>766</v>
      </c>
      <c r="B302" t="str">
        <f>_xlfn.REGEXREPLACE([1]query1!B302, "https://doi.org/", "")</f>
        <v>10.1103/physrevlett.124.252702</v>
      </c>
      <c r="C302">
        <v>9</v>
      </c>
      <c r="D302" s="4" t="s">
        <v>410</v>
      </c>
      <c r="E302" s="4" t="s">
        <v>767</v>
      </c>
      <c r="F302" s="4">
        <v>13</v>
      </c>
    </row>
    <row r="303" spans="1:6" x14ac:dyDescent="0.45">
      <c r="A303" t="s">
        <v>768</v>
      </c>
      <c r="B303" t="str">
        <f>_xlfn.REGEXREPLACE([1]query1!B303, "https://doi.org/", "")</f>
        <v>10.1007/s10514-022-10049-6</v>
      </c>
      <c r="C303">
        <v>9</v>
      </c>
      <c r="D303" s="4" t="s">
        <v>769</v>
      </c>
      <c r="E303" s="4" t="s">
        <v>770</v>
      </c>
      <c r="F303" s="4">
        <v>13</v>
      </c>
    </row>
    <row r="304" spans="1:6" x14ac:dyDescent="0.45">
      <c r="A304" t="s">
        <v>771</v>
      </c>
      <c r="B304" t="str">
        <f>_xlfn.REGEXREPLACE([1]query1!B304, "https://doi.org/", "")</f>
        <v>10.1002/env.2792</v>
      </c>
      <c r="C304">
        <v>9</v>
      </c>
      <c r="D304" s="4" t="s">
        <v>772</v>
      </c>
      <c r="E304" s="4" t="s">
        <v>773</v>
      </c>
      <c r="F304" s="4">
        <v>13</v>
      </c>
    </row>
    <row r="305" spans="1:6" x14ac:dyDescent="0.45">
      <c r="A305" t="s">
        <v>774</v>
      </c>
      <c r="B305" t="str">
        <f>_xlfn.REGEXREPLACE([1]query1!B305, "https://doi.org/", "")</f>
        <v>10.1038/s41534-022-00580-w</v>
      </c>
      <c r="C305">
        <v>9</v>
      </c>
      <c r="D305" s="4" t="s">
        <v>466</v>
      </c>
      <c r="E305" s="4" t="s">
        <v>775</v>
      </c>
      <c r="F305" s="4">
        <v>13</v>
      </c>
    </row>
    <row r="306" spans="1:6" x14ac:dyDescent="0.45">
      <c r="A306" t="s">
        <v>776</v>
      </c>
      <c r="B306" t="str">
        <f>_xlfn.REGEXREPLACE([1]query1!B306, "https://doi.org/", "")</f>
        <v>10.1098/rsif.2020.0765</v>
      </c>
      <c r="C306">
        <v>9</v>
      </c>
      <c r="D306" s="4" t="s">
        <v>777</v>
      </c>
      <c r="E306" s="4" t="s">
        <v>778</v>
      </c>
      <c r="F306" s="4">
        <v>13</v>
      </c>
    </row>
    <row r="307" spans="1:6" x14ac:dyDescent="0.45">
      <c r="A307" t="s">
        <v>779</v>
      </c>
      <c r="B307" t="str">
        <f>_xlfn.REGEXREPLACE([1]query1!B307, "https://doi.org/", "")</f>
        <v>10.5194/bg-20-2283-2023</v>
      </c>
      <c r="C307">
        <v>9</v>
      </c>
      <c r="D307" s="4" t="s">
        <v>627</v>
      </c>
      <c r="E307" s="4" t="s">
        <v>780</v>
      </c>
      <c r="F307" s="4">
        <v>13</v>
      </c>
    </row>
    <row r="308" spans="1:6" x14ac:dyDescent="0.45">
      <c r="A308" t="s">
        <v>781</v>
      </c>
      <c r="B308" t="str">
        <f>_xlfn.REGEXREPLACE([1]query1!B308, "https://doi.org/", "")</f>
        <v>10.3390/rs16010117</v>
      </c>
      <c r="C308">
        <v>8</v>
      </c>
      <c r="D308" s="4" t="s">
        <v>782</v>
      </c>
      <c r="E308" s="4" t="s">
        <v>783</v>
      </c>
      <c r="F308" s="4">
        <v>13</v>
      </c>
    </row>
    <row r="309" spans="1:6" x14ac:dyDescent="0.45">
      <c r="A309" t="s">
        <v>784</v>
      </c>
      <c r="B309" t="str">
        <f>_xlfn.REGEXREPLACE([1]query1!B309, "https://doi.org/", "")</f>
        <v>10.1002/ecs2.3699</v>
      </c>
      <c r="C309">
        <v>8</v>
      </c>
      <c r="D309" s="4" t="s">
        <v>785</v>
      </c>
      <c r="E309" s="4" t="s">
        <v>786</v>
      </c>
      <c r="F309" s="4">
        <v>13</v>
      </c>
    </row>
    <row r="310" spans="1:6" x14ac:dyDescent="0.45">
      <c r="A310" t="s">
        <v>787</v>
      </c>
      <c r="B310" t="str">
        <f>_xlfn.REGEXREPLACE([1]query1!B310, "https://doi.org/", "")</f>
        <v>10.1002/nav.21976</v>
      </c>
      <c r="C310">
        <v>8</v>
      </c>
      <c r="D310" s="4" t="s">
        <v>788</v>
      </c>
      <c r="E310" s="4" t="s">
        <v>789</v>
      </c>
      <c r="F310" s="4">
        <v>13</v>
      </c>
    </row>
    <row r="311" spans="1:6" x14ac:dyDescent="0.45">
      <c r="A311" t="s">
        <v>790</v>
      </c>
      <c r="B311" t="str">
        <f>_xlfn.REGEXREPLACE([1]query1!B311, "https://doi.org/", "")</f>
        <v>10.1016/j.compag.2024.109726</v>
      </c>
      <c r="C311">
        <v>8</v>
      </c>
      <c r="D311" s="4" t="s">
        <v>791</v>
      </c>
      <c r="E311" s="4" t="s">
        <v>792</v>
      </c>
      <c r="F311" s="4">
        <v>13</v>
      </c>
    </row>
    <row r="312" spans="1:6" x14ac:dyDescent="0.45">
      <c r="A312" t="s">
        <v>793</v>
      </c>
      <c r="B312" t="str">
        <f>_xlfn.REGEXREPLACE([1]query1!B312, "https://doi.org/", "")</f>
        <v>10.1140/epjc/s10052-024-13576-x</v>
      </c>
      <c r="C312">
        <v>8</v>
      </c>
      <c r="D312" s="4" t="s">
        <v>440</v>
      </c>
      <c r="E312" s="4" t="s">
        <v>794</v>
      </c>
      <c r="F312" s="4">
        <v>13</v>
      </c>
    </row>
    <row r="313" spans="1:6" x14ac:dyDescent="0.45">
      <c r="A313" t="s">
        <v>795</v>
      </c>
      <c r="B313" t="str">
        <f>_xlfn.REGEXREPLACE([1]query1!B313, "https://doi.org/", "")</f>
        <v>10.1145/3528223.3530138</v>
      </c>
      <c r="C313">
        <v>8</v>
      </c>
      <c r="D313" s="4" t="s">
        <v>796</v>
      </c>
      <c r="E313" s="4" t="s">
        <v>797</v>
      </c>
      <c r="F313" s="4">
        <v>13</v>
      </c>
    </row>
    <row r="314" spans="1:6" x14ac:dyDescent="0.45">
      <c r="A314" t="s">
        <v>798</v>
      </c>
      <c r="B314" t="str">
        <f>_xlfn.REGEXREPLACE([1]query1!B314, "https://doi.org/", "")</f>
        <v>10.1214/21-aoas1484</v>
      </c>
      <c r="C314">
        <v>8</v>
      </c>
      <c r="D314" s="4" t="s">
        <v>799</v>
      </c>
      <c r="E314" s="4" t="s">
        <v>800</v>
      </c>
      <c r="F314" s="4">
        <v>13</v>
      </c>
    </row>
    <row r="315" spans="1:6" x14ac:dyDescent="0.45">
      <c r="A315" t="s">
        <v>801</v>
      </c>
      <c r="B315" t="str">
        <f>_xlfn.REGEXREPLACE([1]query1!B315, "https://doi.org/", "")</f>
        <v>10.1007/s11412-023-09396-y</v>
      </c>
      <c r="C315">
        <v>8</v>
      </c>
      <c r="D315" s="4" t="s">
        <v>802</v>
      </c>
      <c r="E315" s="4" t="s">
        <v>803</v>
      </c>
      <c r="F315" s="4">
        <v>13</v>
      </c>
    </row>
    <row r="316" spans="1:6" x14ac:dyDescent="0.45">
      <c r="A316" t="s">
        <v>804</v>
      </c>
      <c r="B316" t="str">
        <f>_xlfn.REGEXREPLACE([1]query1!B316, "https://doi.org/", "")</f>
        <v>10.1016/j.wear.2023.205115</v>
      </c>
      <c r="C316">
        <v>8</v>
      </c>
      <c r="D316" s="4" t="s">
        <v>805</v>
      </c>
      <c r="E316" s="4" t="s">
        <v>806</v>
      </c>
      <c r="F316" s="4">
        <v>12</v>
      </c>
    </row>
    <row r="317" spans="1:6" x14ac:dyDescent="0.45">
      <c r="A317" t="s">
        <v>807</v>
      </c>
      <c r="B317" t="str">
        <f>_xlfn.REGEXREPLACE([1]query1!B317, "https://doi.org/", "")</f>
        <v>10.1093/iwc/iwab026</v>
      </c>
      <c r="C317">
        <v>8</v>
      </c>
      <c r="D317" s="4" t="s">
        <v>567</v>
      </c>
      <c r="E317" s="4" t="s">
        <v>808</v>
      </c>
      <c r="F317" s="4">
        <v>12</v>
      </c>
    </row>
    <row r="318" spans="1:6" x14ac:dyDescent="0.45">
      <c r="A318" t="s">
        <v>809</v>
      </c>
      <c r="B318" t="str">
        <f>_xlfn.REGEXREPLACE([1]query1!B318, "https://doi.org/", "")</f>
        <v>10.1145/3607822.3614539</v>
      </c>
      <c r="C318">
        <v>8</v>
      </c>
      <c r="D318" s="4" t="s">
        <v>810</v>
      </c>
      <c r="E318" s="4" t="s">
        <v>811</v>
      </c>
      <c r="F318" s="4">
        <v>12</v>
      </c>
    </row>
    <row r="319" spans="1:6" x14ac:dyDescent="0.45">
      <c r="A319" t="s">
        <v>812</v>
      </c>
      <c r="B319" t="str">
        <f>_xlfn.REGEXREPLACE([1]query1!B319, "https://doi.org/", "")</f>
        <v>10.1016/j.tsep.2020.100802</v>
      </c>
      <c r="C319">
        <v>8</v>
      </c>
      <c r="D319" s="4" t="s">
        <v>813</v>
      </c>
      <c r="E319" s="4" t="s">
        <v>814</v>
      </c>
      <c r="F319" s="4">
        <v>12</v>
      </c>
    </row>
    <row r="320" spans="1:6" x14ac:dyDescent="0.45">
      <c r="A320" t="s">
        <v>815</v>
      </c>
      <c r="B320" t="str">
        <f>_xlfn.REGEXREPLACE([1]query1!B320, "https://doi.org/", "")</f>
        <v>10.1109/jsac.2023.3345391</v>
      </c>
      <c r="C320">
        <v>8</v>
      </c>
      <c r="D320" s="4" t="s">
        <v>610</v>
      </c>
      <c r="E320" s="4" t="s">
        <v>816</v>
      </c>
      <c r="F320" s="4">
        <v>12</v>
      </c>
    </row>
    <row r="321" spans="1:6" x14ac:dyDescent="0.45">
      <c r="A321" t="s">
        <v>817</v>
      </c>
      <c r="B321" t="str">
        <f>_xlfn.REGEXREPLACE([1]query1!B321, "https://doi.org/", "")</f>
        <v>10.1016/j.applthermaleng.2022.119467</v>
      </c>
      <c r="C321">
        <v>8</v>
      </c>
      <c r="D321" s="4" t="s">
        <v>554</v>
      </c>
      <c r="E321" s="4" t="s">
        <v>818</v>
      </c>
      <c r="F321" s="4">
        <v>12</v>
      </c>
    </row>
    <row r="322" spans="1:6" x14ac:dyDescent="0.45">
      <c r="A322" t="s">
        <v>819</v>
      </c>
      <c r="B322" t="str">
        <f>_xlfn.REGEXREPLACE([1]query1!B322, "https://doi.org/", "")</f>
        <v>10.1007/s10729-023-09632-9</v>
      </c>
      <c r="C322">
        <v>8</v>
      </c>
      <c r="D322" s="4" t="s">
        <v>557</v>
      </c>
      <c r="E322" s="4" t="s">
        <v>820</v>
      </c>
      <c r="F322" s="4">
        <v>12</v>
      </c>
    </row>
    <row r="323" spans="1:6" x14ac:dyDescent="0.45">
      <c r="A323" t="s">
        <v>821</v>
      </c>
      <c r="B323" t="str">
        <f>_xlfn.REGEXREPLACE([1]query1!B323, "https://doi.org/", "")</f>
        <v>10.1145/3474085.3479229</v>
      </c>
      <c r="C323">
        <v>8</v>
      </c>
      <c r="D323" s="4" t="s">
        <v>443</v>
      </c>
      <c r="E323" s="4" t="s">
        <v>822</v>
      </c>
      <c r="F323" s="4">
        <v>12</v>
      </c>
    </row>
    <row r="324" spans="1:6" x14ac:dyDescent="0.45">
      <c r="A324" t="s">
        <v>823</v>
      </c>
      <c r="B324" t="str">
        <f>_xlfn.REGEXREPLACE([1]query1!B324, "https://doi.org/", "")</f>
        <v>10.1109/lwc.2024.3362930</v>
      </c>
      <c r="C324">
        <v>8</v>
      </c>
      <c r="D324" s="4" t="s">
        <v>621</v>
      </c>
      <c r="E324" s="4" t="s">
        <v>824</v>
      </c>
      <c r="F324" s="4">
        <v>12</v>
      </c>
    </row>
    <row r="325" spans="1:6" x14ac:dyDescent="0.45">
      <c r="A325" t="s">
        <v>825</v>
      </c>
      <c r="B325" t="str">
        <f>_xlfn.REGEXREPLACE([1]query1!B325, "https://doi.org/", "")</f>
        <v>10.1016/j.jeconom.2022.01.011</v>
      </c>
      <c r="C325">
        <v>8</v>
      </c>
      <c r="D325" s="4" t="s">
        <v>826</v>
      </c>
      <c r="E325" s="4" t="s">
        <v>827</v>
      </c>
      <c r="F325" s="4">
        <v>12</v>
      </c>
    </row>
    <row r="326" spans="1:6" x14ac:dyDescent="0.45">
      <c r="A326" t="s">
        <v>828</v>
      </c>
      <c r="B326" t="str">
        <f>_xlfn.REGEXREPLACE([1]query1!B326, "https://doi.org/", "")</f>
        <v>10.1109/tap.2021.3070121</v>
      </c>
      <c r="C326">
        <v>8</v>
      </c>
      <c r="D326" s="4" t="s">
        <v>829</v>
      </c>
      <c r="E326" s="4" t="s">
        <v>830</v>
      </c>
      <c r="F326" s="4">
        <v>12</v>
      </c>
    </row>
    <row r="327" spans="1:6" x14ac:dyDescent="0.45">
      <c r="A327" t="s">
        <v>831</v>
      </c>
      <c r="B327" t="str">
        <f>_xlfn.REGEXREPLACE([1]query1!B327, "https://doi.org/", "")</f>
        <v>10.1109/icdcm60322.2024.10664829</v>
      </c>
      <c r="C327">
        <v>8</v>
      </c>
      <c r="D327" s="4" t="s">
        <v>832</v>
      </c>
      <c r="E327" s="4" t="s">
        <v>833</v>
      </c>
      <c r="F327" s="4">
        <v>12</v>
      </c>
    </row>
    <row r="328" spans="1:6" x14ac:dyDescent="0.45">
      <c r="A328" t="s">
        <v>834</v>
      </c>
      <c r="B328" t="str">
        <f>_xlfn.REGEXREPLACE([1]query1!B328, "https://doi.org/", "")</f>
        <v>10.1177/09622802211052972</v>
      </c>
      <c r="C328">
        <v>8</v>
      </c>
      <c r="D328" s="4" t="s">
        <v>632</v>
      </c>
      <c r="E328" s="4" t="s">
        <v>835</v>
      </c>
      <c r="F328" s="4">
        <v>12</v>
      </c>
    </row>
    <row r="329" spans="1:6" x14ac:dyDescent="0.45">
      <c r="A329" t="s">
        <v>836</v>
      </c>
      <c r="B329" t="str">
        <f>_xlfn.REGEXREPLACE([1]query1!B329, "https://doi.org/", "")</f>
        <v>10.1109/tac.2022.3140260</v>
      </c>
      <c r="C329">
        <v>8</v>
      </c>
      <c r="D329" s="4" t="s">
        <v>837</v>
      </c>
      <c r="E329" s="4" t="s">
        <v>838</v>
      </c>
      <c r="F329" s="4">
        <v>12</v>
      </c>
    </row>
    <row r="330" spans="1:6" x14ac:dyDescent="0.45">
      <c r="A330" t="s">
        <v>839</v>
      </c>
      <c r="B330" t="str">
        <f>_xlfn.REGEXREPLACE([1]query1!B330, "https://doi.org/", "")</f>
        <v>10.1145/3613905.3650972</v>
      </c>
      <c r="C330">
        <v>8</v>
      </c>
      <c r="D330" s="4" t="s">
        <v>635</v>
      </c>
      <c r="E330" s="4" t="s">
        <v>840</v>
      </c>
      <c r="F330" s="4">
        <v>12</v>
      </c>
    </row>
    <row r="331" spans="1:6" x14ac:dyDescent="0.45">
      <c r="A331" t="s">
        <v>841</v>
      </c>
      <c r="B331" t="str">
        <f>_xlfn.REGEXREPLACE([1]query1!B331, "https://doi.org/", "")</f>
        <v>10.1111/cgf.14113</v>
      </c>
      <c r="C331">
        <v>8</v>
      </c>
      <c r="D331" s="4" t="s">
        <v>842</v>
      </c>
      <c r="E331" s="4" t="s">
        <v>843</v>
      </c>
      <c r="F331" s="4">
        <v>12</v>
      </c>
    </row>
    <row r="332" spans="1:6" x14ac:dyDescent="0.45">
      <c r="A332" t="s">
        <v>844</v>
      </c>
      <c r="B332" t="str">
        <f>_xlfn.REGEXREPLACE([1]query1!B332, "https://doi.org/", "")</f>
        <v>10.1109/tmm.2022.3165381</v>
      </c>
      <c r="C332">
        <v>8</v>
      </c>
      <c r="D332" s="4" t="s">
        <v>845</v>
      </c>
      <c r="E332" s="4" t="s">
        <v>846</v>
      </c>
      <c r="F332" s="4">
        <v>12</v>
      </c>
    </row>
    <row r="333" spans="1:6" x14ac:dyDescent="0.45">
      <c r="A333" t="s">
        <v>847</v>
      </c>
      <c r="B333" t="str">
        <f>_xlfn.REGEXREPLACE([1]query1!B333, "https://doi.org/", "")</f>
        <v>10.1016/j.orhc.2021.100308</v>
      </c>
      <c r="C333">
        <v>8</v>
      </c>
      <c r="D333" s="4" t="s">
        <v>848</v>
      </c>
      <c r="E333" s="4" t="s">
        <v>849</v>
      </c>
      <c r="F333" s="4">
        <v>11</v>
      </c>
    </row>
    <row r="334" spans="1:6" x14ac:dyDescent="0.45">
      <c r="A334" t="s">
        <v>850</v>
      </c>
      <c r="B334" t="str">
        <f>_xlfn.REGEXREPLACE([1]query1!B334, "https://doi.org/", "")</f>
        <v>10.1002/sim.9364</v>
      </c>
      <c r="C334">
        <v>8</v>
      </c>
      <c r="D334" s="4" t="s">
        <v>653</v>
      </c>
      <c r="E334" s="4" t="s">
        <v>851</v>
      </c>
      <c r="F334" s="4">
        <v>11</v>
      </c>
    </row>
    <row r="335" spans="1:6" x14ac:dyDescent="0.45">
      <c r="A335" t="s">
        <v>852</v>
      </c>
      <c r="B335" t="str">
        <f>_xlfn.REGEXREPLACE([1]query1!B335, "https://doi.org/", "")</f>
        <v>10.1145/3658140</v>
      </c>
      <c r="C335">
        <v>8</v>
      </c>
      <c r="D335" s="4" t="s">
        <v>640</v>
      </c>
      <c r="E335" s="4" t="s">
        <v>853</v>
      </c>
      <c r="F335" s="4">
        <v>11</v>
      </c>
    </row>
    <row r="336" spans="1:6" x14ac:dyDescent="0.45">
      <c r="A336" t="s">
        <v>854</v>
      </c>
      <c r="B336" t="str">
        <f>_xlfn.REGEXREPLACE([1]query1!B336, "https://doi.org/", "")</f>
        <v>10.1093/treephys/tpae006</v>
      </c>
      <c r="C336">
        <v>8</v>
      </c>
      <c r="D336" s="4" t="s">
        <v>855</v>
      </c>
      <c r="E336" s="4" t="s">
        <v>856</v>
      </c>
      <c r="F336" s="4">
        <v>11</v>
      </c>
    </row>
    <row r="337" spans="1:6" x14ac:dyDescent="0.45">
      <c r="A337" t="s">
        <v>857</v>
      </c>
      <c r="B337" t="str">
        <f>_xlfn.REGEXREPLACE([1]query1!B337, "https://doi.org/", "")</f>
        <v>10.1016/j.jpowsour.2024.234855</v>
      </c>
      <c r="C337">
        <v>7</v>
      </c>
      <c r="D337" s="4" t="s">
        <v>615</v>
      </c>
      <c r="E337" s="4" t="s">
        <v>858</v>
      </c>
      <c r="F337" s="4">
        <v>11</v>
      </c>
    </row>
    <row r="338" spans="1:6" x14ac:dyDescent="0.45">
      <c r="A338" t="s">
        <v>859</v>
      </c>
      <c r="B338" t="str">
        <f>_xlfn.REGEXREPLACE([1]query1!B338, "https://doi.org/", "")</f>
        <v>10.1086/717293</v>
      </c>
      <c r="C338">
        <v>7</v>
      </c>
      <c r="D338" s="4" t="s">
        <v>605</v>
      </c>
      <c r="E338" s="4" t="s">
        <v>860</v>
      </c>
      <c r="F338" s="4">
        <v>11</v>
      </c>
    </row>
    <row r="339" spans="1:6" x14ac:dyDescent="0.45">
      <c r="A339" t="s">
        <v>861</v>
      </c>
      <c r="B339" t="str">
        <f>_xlfn.REGEXREPLACE([1]query1!B339, "https://doi.org/", "")</f>
        <v>10.1016/j.clinph.2021.03.015</v>
      </c>
      <c r="C339">
        <v>7</v>
      </c>
      <c r="D339" s="4" t="s">
        <v>603</v>
      </c>
      <c r="E339" s="4" t="s">
        <v>862</v>
      </c>
      <c r="F339" s="4">
        <v>11</v>
      </c>
    </row>
    <row r="340" spans="1:6" x14ac:dyDescent="0.45">
      <c r="A340" t="s">
        <v>863</v>
      </c>
      <c r="B340" t="str">
        <f>_xlfn.REGEXREPLACE([1]query1!B340, "https://doi.org/", "")</f>
        <v>10.5194/isprs-annals-x-4-w1-2022-25-2023</v>
      </c>
      <c r="C340">
        <v>7</v>
      </c>
      <c r="D340" s="4" t="s">
        <v>864</v>
      </c>
      <c r="E340" s="4" t="s">
        <v>865</v>
      </c>
      <c r="F340" s="4">
        <v>11</v>
      </c>
    </row>
    <row r="341" spans="1:6" x14ac:dyDescent="0.45">
      <c r="A341" t="s">
        <v>866</v>
      </c>
      <c r="B341" t="str">
        <f>_xlfn.REGEXREPLACE([1]query1!B341, "https://doi.org/", "")</f>
        <v>10.1016/c2019-0-01054-0</v>
      </c>
      <c r="C341">
        <v>7</v>
      </c>
      <c r="D341" s="4" t="s">
        <v>867</v>
      </c>
      <c r="E341" s="4" t="s">
        <v>868</v>
      </c>
      <c r="F341" s="4">
        <v>11</v>
      </c>
    </row>
    <row r="342" spans="1:6" x14ac:dyDescent="0.45">
      <c r="A342" t="s">
        <v>869</v>
      </c>
      <c r="B342" t="str">
        <f>_xlfn.REGEXREPLACE([1]query1!B342, "https://doi.org/", "")</f>
        <v>10.1016/j.jmapro.2023.11.007</v>
      </c>
      <c r="C342">
        <v>7</v>
      </c>
      <c r="D342" s="4" t="s">
        <v>870</v>
      </c>
      <c r="E342" s="4" t="s">
        <v>871</v>
      </c>
      <c r="F342" s="4">
        <v>11</v>
      </c>
    </row>
    <row r="343" spans="1:6" x14ac:dyDescent="0.45">
      <c r="A343" t="s">
        <v>872</v>
      </c>
      <c r="B343" t="str">
        <f>_xlfn.REGEXREPLACE([1]query1!B343, "https://doi.org/", "")</f>
        <v>10.5194/tc-16-3149-2022</v>
      </c>
      <c r="C343">
        <v>7</v>
      </c>
      <c r="D343" s="4" t="s">
        <v>873</v>
      </c>
      <c r="E343" s="4" t="s">
        <v>874</v>
      </c>
      <c r="F343" s="4">
        <v>11</v>
      </c>
    </row>
    <row r="344" spans="1:6" x14ac:dyDescent="0.45">
      <c r="A344" t="s">
        <v>875</v>
      </c>
      <c r="B344" t="str">
        <f>_xlfn.REGEXREPLACE([1]query1!B344, "https://doi.org/", "")</f>
        <v>10.1016/j.matdes.2024.113535</v>
      </c>
      <c r="C344">
        <v>7</v>
      </c>
      <c r="D344" s="4" t="s">
        <v>876</v>
      </c>
      <c r="E344" s="4" t="s">
        <v>877</v>
      </c>
      <c r="F344" s="4">
        <v>11</v>
      </c>
    </row>
    <row r="345" spans="1:6" x14ac:dyDescent="0.45">
      <c r="A345" t="s">
        <v>878</v>
      </c>
      <c r="B345" t="str">
        <f>_xlfn.REGEXREPLACE([1]query1!B345, "https://doi.org/", "")</f>
        <v>10.1017/jog.2023.103</v>
      </c>
      <c r="C345">
        <v>7</v>
      </c>
      <c r="D345" s="4" t="s">
        <v>729</v>
      </c>
      <c r="E345" s="4" t="s">
        <v>879</v>
      </c>
      <c r="F345" s="4">
        <v>11</v>
      </c>
    </row>
    <row r="346" spans="1:6" x14ac:dyDescent="0.45">
      <c r="A346" t="s">
        <v>880</v>
      </c>
      <c r="B346" t="str">
        <f>_xlfn.REGEXREPLACE([1]query1!B346, "https://doi.org/", "")</f>
        <v>10.1115/1.4062548</v>
      </c>
      <c r="C346">
        <v>7</v>
      </c>
      <c r="D346" s="4" t="s">
        <v>881</v>
      </c>
      <c r="E346" s="4" t="s">
        <v>882</v>
      </c>
      <c r="F346" s="4">
        <v>11</v>
      </c>
    </row>
    <row r="347" spans="1:6" x14ac:dyDescent="0.45">
      <c r="A347" t="s">
        <v>883</v>
      </c>
      <c r="B347" t="str">
        <f>_xlfn.REGEXREPLACE([1]query1!B347, "https://doi.org/", "")</f>
        <v>10.3389/fpls.2022.1044637</v>
      </c>
      <c r="C347">
        <v>7</v>
      </c>
      <c r="D347" s="4" t="s">
        <v>884</v>
      </c>
      <c r="E347" s="4" t="s">
        <v>885</v>
      </c>
      <c r="F347" s="4">
        <v>11</v>
      </c>
    </row>
    <row r="348" spans="1:6" x14ac:dyDescent="0.45">
      <c r="A348" t="s">
        <v>886</v>
      </c>
      <c r="B348" t="str">
        <f>_xlfn.REGEXREPLACE([1]query1!B348, "https://doi.org/", "")</f>
        <v>10.1109/ted.2022.3208218</v>
      </c>
      <c r="C348">
        <v>7</v>
      </c>
      <c r="D348" s="4" t="s">
        <v>887</v>
      </c>
      <c r="E348" s="4" t="s">
        <v>888</v>
      </c>
      <c r="F348" s="4">
        <v>11</v>
      </c>
    </row>
    <row r="349" spans="1:6" x14ac:dyDescent="0.45">
      <c r="A349" t="s">
        <v>889</v>
      </c>
      <c r="B349" t="str">
        <f>_xlfn.REGEXREPLACE([1]query1!B349, "https://doi.org/", "")</f>
        <v>10.1002/hyp.14536</v>
      </c>
      <c r="C349">
        <v>7</v>
      </c>
      <c r="D349" s="4" t="s">
        <v>890</v>
      </c>
      <c r="E349" s="4" t="s">
        <v>891</v>
      </c>
      <c r="F349" s="4">
        <v>10</v>
      </c>
    </row>
    <row r="350" spans="1:6" x14ac:dyDescent="0.45">
      <c r="A350" t="s">
        <v>892</v>
      </c>
      <c r="B350" t="str">
        <f>_xlfn.REGEXREPLACE([1]query1!B350, "https://doi.org/", "")</f>
        <v>10.1515/ijb-2023-0056</v>
      </c>
      <c r="C350">
        <v>7</v>
      </c>
      <c r="D350" s="4" t="s">
        <v>852</v>
      </c>
      <c r="E350" s="4" t="s">
        <v>893</v>
      </c>
      <c r="F350" s="4">
        <v>10</v>
      </c>
    </row>
    <row r="351" spans="1:6" x14ac:dyDescent="0.45">
      <c r="A351" t="s">
        <v>894</v>
      </c>
      <c r="B351" t="str">
        <f>_xlfn.REGEXREPLACE([1]query1!B351, "https://doi.org/", "")</f>
        <v>10.1103/physrevb.102.104110</v>
      </c>
      <c r="C351">
        <v>7</v>
      </c>
      <c r="D351" s="4" t="s">
        <v>637</v>
      </c>
      <c r="E351" s="4" t="s">
        <v>895</v>
      </c>
      <c r="F351" s="4">
        <v>10</v>
      </c>
    </row>
    <row r="352" spans="1:6" x14ac:dyDescent="0.45">
      <c r="A352" t="s">
        <v>896</v>
      </c>
      <c r="B352" t="str">
        <f>_xlfn.REGEXREPLACE([1]query1!B352, "https://doi.org/", "")</f>
        <v>10.1109/iemcon53756.2021.9623214</v>
      </c>
      <c r="C352">
        <v>7</v>
      </c>
      <c r="D352" s="4" t="s">
        <v>651</v>
      </c>
      <c r="E352" s="4" t="s">
        <v>897</v>
      </c>
      <c r="F352" s="4">
        <v>10</v>
      </c>
    </row>
    <row r="353" spans="1:6" x14ac:dyDescent="0.45">
      <c r="A353" t="s">
        <v>898</v>
      </c>
      <c r="B353" t="str">
        <f>_xlfn.REGEXREPLACE([1]query1!B353, "https://doi.org/", "")</f>
        <v>10.1214/22-aoas1600</v>
      </c>
      <c r="C353">
        <v>7</v>
      </c>
      <c r="D353" s="4" t="s">
        <v>341</v>
      </c>
      <c r="E353" s="4" t="s">
        <v>899</v>
      </c>
      <c r="F353" s="4">
        <v>10</v>
      </c>
    </row>
    <row r="354" spans="1:6" x14ac:dyDescent="0.45">
      <c r="A354" t="s">
        <v>900</v>
      </c>
      <c r="B354" t="str">
        <f>_xlfn.REGEXREPLACE([1]query1!B354, "https://doi.org/", "")</f>
        <v>10.1109/jiot.2024.3393927</v>
      </c>
      <c r="C354">
        <v>7</v>
      </c>
      <c r="D354" s="4" t="s">
        <v>742</v>
      </c>
      <c r="E354" s="4" t="s">
        <v>901</v>
      </c>
      <c r="F354" s="4">
        <v>10</v>
      </c>
    </row>
    <row r="355" spans="1:6" x14ac:dyDescent="0.45">
      <c r="A355" t="s">
        <v>902</v>
      </c>
      <c r="B355" t="str">
        <f>_xlfn.REGEXREPLACE([1]query1!B355, "https://doi.org/", "")</f>
        <v>10.1109/access.2020.2990198</v>
      </c>
      <c r="C355">
        <v>7</v>
      </c>
      <c r="D355" s="4" t="s">
        <v>903</v>
      </c>
      <c r="E355" s="4" t="s">
        <v>904</v>
      </c>
      <c r="F355" s="4">
        <v>10</v>
      </c>
    </row>
    <row r="356" spans="1:6" x14ac:dyDescent="0.45">
      <c r="A356" t="s">
        <v>905</v>
      </c>
      <c r="B356" t="str">
        <f>_xlfn.REGEXREPLACE([1]query1!B356, "https://doi.org/", "")</f>
        <v>10.1007/s10751-020-1704-6</v>
      </c>
      <c r="C356">
        <v>7</v>
      </c>
      <c r="D356" s="4" t="s">
        <v>906</v>
      </c>
      <c r="E356" s="4" t="s">
        <v>907</v>
      </c>
      <c r="F356" s="4">
        <v>10</v>
      </c>
    </row>
    <row r="357" spans="1:6" x14ac:dyDescent="0.45">
      <c r="A357" t="s">
        <v>908</v>
      </c>
      <c r="B357" t="str">
        <f>_xlfn.REGEXREPLACE([1]query1!B357, "https://doi.org/", "")</f>
        <v>10.1007/s00603-020-02203-2</v>
      </c>
      <c r="C357">
        <v>7</v>
      </c>
      <c r="D357" s="4" t="s">
        <v>630</v>
      </c>
      <c r="E357" s="4" t="s">
        <v>909</v>
      </c>
      <c r="F357" s="4">
        <v>10</v>
      </c>
    </row>
    <row r="358" spans="1:6" x14ac:dyDescent="0.45">
      <c r="A358" t="s">
        <v>910</v>
      </c>
      <c r="B358" t="str">
        <f>_xlfn.REGEXREPLACE([1]query1!B358, "https://doi.org/", "")</f>
        <v>10.1016/j.chb.2024.108234</v>
      </c>
      <c r="C358">
        <v>7</v>
      </c>
      <c r="D358" s="4" t="s">
        <v>911</v>
      </c>
      <c r="E358" s="4" t="s">
        <v>912</v>
      </c>
      <c r="F358" s="4">
        <v>10</v>
      </c>
    </row>
    <row r="359" spans="1:6" x14ac:dyDescent="0.45">
      <c r="A359" t="s">
        <v>913</v>
      </c>
      <c r="B359" t="str">
        <f>_xlfn.REGEXREPLACE([1]query1!B359, "https://doi.org/", "")</f>
        <v>10.1007/978-3-030-60319-9_15</v>
      </c>
      <c r="C359">
        <v>7</v>
      </c>
      <c r="D359" s="4" t="s">
        <v>914</v>
      </c>
      <c r="E359" s="4" t="s">
        <v>915</v>
      </c>
      <c r="F359" s="4">
        <v>10</v>
      </c>
    </row>
    <row r="360" spans="1:6" x14ac:dyDescent="0.45">
      <c r="A360" t="s">
        <v>916</v>
      </c>
      <c r="B360" t="str">
        <f>_xlfn.REGEXREPLACE([1]query1!B360, "https://doi.org/", "")</f>
        <v>10.1109/access.2023.3322430</v>
      </c>
      <c r="C360">
        <v>7</v>
      </c>
      <c r="D360" s="4" t="s">
        <v>917</v>
      </c>
      <c r="E360" s="4" t="s">
        <v>918</v>
      </c>
      <c r="F360" s="4">
        <v>10</v>
      </c>
    </row>
    <row r="361" spans="1:6" x14ac:dyDescent="0.45">
      <c r="A361" t="s">
        <v>919</v>
      </c>
      <c r="B361" t="str">
        <f>_xlfn.REGEXREPLACE([1]query1!B361, "https://doi.org/", "")</f>
        <v>10.1109/tcomm.2024.3418889</v>
      </c>
      <c r="C361">
        <v>7</v>
      </c>
      <c r="D361" s="4" t="s">
        <v>612</v>
      </c>
      <c r="E361" s="4" t="s">
        <v>920</v>
      </c>
      <c r="F361" s="4">
        <v>10</v>
      </c>
    </row>
    <row r="362" spans="1:6" x14ac:dyDescent="0.45">
      <c r="A362" t="s">
        <v>921</v>
      </c>
      <c r="B362" t="str">
        <f>_xlfn.REGEXREPLACE([1]query1!B362, "https://doi.org/", "")</f>
        <v>10.1109/tsp.2024.3378376</v>
      </c>
      <c r="C362">
        <v>7</v>
      </c>
      <c r="D362" s="4" t="s">
        <v>922</v>
      </c>
      <c r="E362" s="4"/>
      <c r="F362" s="4">
        <v>10</v>
      </c>
    </row>
    <row r="363" spans="1:6" x14ac:dyDescent="0.45">
      <c r="A363" t="s">
        <v>923</v>
      </c>
      <c r="B363" t="str">
        <f>_xlfn.REGEXREPLACE([1]query1!B363, "https://doi.org/", "")</f>
        <v>10.1109/tasc.2024.3383813</v>
      </c>
      <c r="C363">
        <v>7</v>
      </c>
      <c r="D363" s="4" t="s">
        <v>644</v>
      </c>
      <c r="E363" s="4" t="s">
        <v>924</v>
      </c>
      <c r="F363" s="4">
        <v>10</v>
      </c>
    </row>
    <row r="364" spans="1:6" x14ac:dyDescent="0.45">
      <c r="A364" t="s">
        <v>925</v>
      </c>
      <c r="B364" t="str">
        <f>_xlfn.REGEXREPLACE([1]query1!B364, "https://doi.org/", "")</f>
        <v>10.1111/febs.16578</v>
      </c>
      <c r="C364">
        <v>7</v>
      </c>
      <c r="D364" s="4" t="s">
        <v>608</v>
      </c>
      <c r="E364" s="4" t="s">
        <v>926</v>
      </c>
      <c r="F364" s="4">
        <v>10</v>
      </c>
    </row>
    <row r="365" spans="1:6" x14ac:dyDescent="0.45">
      <c r="A365" t="s">
        <v>927</v>
      </c>
      <c r="B365" t="str">
        <f>_xlfn.REGEXREPLACE([1]query1!B365, "https://doi.org/", "")</f>
        <v>10.1007/s11042-020-09838-x</v>
      </c>
      <c r="C365">
        <v>6</v>
      </c>
      <c r="D365" s="4" t="s">
        <v>928</v>
      </c>
      <c r="E365" s="4" t="s">
        <v>929</v>
      </c>
      <c r="F365" s="4">
        <v>10</v>
      </c>
    </row>
    <row r="366" spans="1:6" x14ac:dyDescent="0.45">
      <c r="A366" t="s">
        <v>930</v>
      </c>
      <c r="B366" t="str">
        <f>_xlfn.REGEXREPLACE([1]query1!B366, "https://doi.org/", "")</f>
        <v>10.1109/iros51168.2021.9636410</v>
      </c>
      <c r="C366">
        <v>6</v>
      </c>
      <c r="D366" s="4" t="s">
        <v>664</v>
      </c>
      <c r="E366" s="4" t="s">
        <v>931</v>
      </c>
      <c r="F366" s="4">
        <v>10</v>
      </c>
    </row>
    <row r="367" spans="1:6" x14ac:dyDescent="0.45">
      <c r="A367" t="s">
        <v>932</v>
      </c>
      <c r="B367" t="str">
        <f>_xlfn.REGEXREPLACE([1]query1!B367, "https://doi.org/", "")</f>
        <v>10.5194/nhess-24-2727-2024</v>
      </c>
      <c r="C367">
        <v>6</v>
      </c>
      <c r="D367" s="4" t="s">
        <v>709</v>
      </c>
      <c r="E367" s="4" t="s">
        <v>933</v>
      </c>
      <c r="F367" s="4">
        <v>10</v>
      </c>
    </row>
    <row r="368" spans="1:6" x14ac:dyDescent="0.45">
      <c r="A368" t="s">
        <v>934</v>
      </c>
      <c r="B368" t="str">
        <f>_xlfn.REGEXREPLACE([1]query1!B368, "https://doi.org/", "")</f>
        <v>10.1136/bmjstel-2019-000576</v>
      </c>
      <c r="C368">
        <v>6</v>
      </c>
      <c r="D368" s="4" t="s">
        <v>935</v>
      </c>
      <c r="E368" s="4" t="s">
        <v>936</v>
      </c>
      <c r="F368" s="4">
        <v>10</v>
      </c>
    </row>
    <row r="369" spans="1:6" x14ac:dyDescent="0.45">
      <c r="A369" t="s">
        <v>937</v>
      </c>
      <c r="B369" t="str">
        <f>_xlfn.REGEXREPLACE([1]query1!B369, "https://doi.org/", "")</f>
        <v>10.5281/zenodo.4663137</v>
      </c>
      <c r="C369">
        <v>6</v>
      </c>
      <c r="D369" s="4" t="s">
        <v>716</v>
      </c>
      <c r="E369" s="4" t="s">
        <v>938</v>
      </c>
      <c r="F369" s="4">
        <v>10</v>
      </c>
    </row>
    <row r="370" spans="1:6" x14ac:dyDescent="0.45">
      <c r="A370" t="s">
        <v>939</v>
      </c>
      <c r="B370" t="str">
        <f>_xlfn.REGEXREPLACE([1]query1!B370, "https://doi.org/", "")</f>
        <v>10.1088/2634-4505/ad8fcc</v>
      </c>
      <c r="C370">
        <v>6</v>
      </c>
      <c r="D370" s="4" t="s">
        <v>940</v>
      </c>
      <c r="E370" s="4" t="s">
        <v>941</v>
      </c>
      <c r="F370" s="4">
        <v>10</v>
      </c>
    </row>
    <row r="371" spans="1:6" x14ac:dyDescent="0.45">
      <c r="A371" t="s">
        <v>942</v>
      </c>
      <c r="B371" t="str">
        <f>_xlfn.REGEXREPLACE([1]query1!B371, "https://doi.org/", "")</f>
        <v>10.1002/esp.5942</v>
      </c>
      <c r="C371">
        <v>6</v>
      </c>
      <c r="D371" s="4" t="s">
        <v>943</v>
      </c>
      <c r="E371" s="4" t="s">
        <v>944</v>
      </c>
      <c r="F371" s="4">
        <v>9</v>
      </c>
    </row>
    <row r="372" spans="1:6" x14ac:dyDescent="0.45">
      <c r="A372" t="s">
        <v>945</v>
      </c>
      <c r="B372" t="str">
        <f>_xlfn.REGEXREPLACE([1]query1!B372, "https://doi.org/", "")</f>
        <v>10.1111/aman.13817</v>
      </c>
      <c r="C372">
        <v>6</v>
      </c>
      <c r="D372" s="4" t="s">
        <v>919</v>
      </c>
      <c r="E372" s="4" t="s">
        <v>946</v>
      </c>
      <c r="F372" s="4">
        <v>9</v>
      </c>
    </row>
    <row r="373" spans="1:6" x14ac:dyDescent="0.45">
      <c r="A373" t="s">
        <v>947</v>
      </c>
      <c r="B373" t="str">
        <f>_xlfn.REGEXREPLACE([1]query1!B373, "https://doi.org/", "")</f>
        <v>10.1016/j.enggeo.2020.105980</v>
      </c>
      <c r="C373">
        <v>6</v>
      </c>
      <c r="D373" s="4" t="s">
        <v>763</v>
      </c>
      <c r="E373" s="4" t="s">
        <v>948</v>
      </c>
      <c r="F373" s="4">
        <v>9</v>
      </c>
    </row>
    <row r="374" spans="1:6" x14ac:dyDescent="0.45">
      <c r="A374" t="s">
        <v>949</v>
      </c>
      <c r="B374" t="str">
        <f>_xlfn.REGEXREPLACE([1]query1!B374, "https://doi.org/", "")</f>
        <v>10.5194/egusphere-2023-2063</v>
      </c>
      <c r="C374">
        <v>6</v>
      </c>
      <c r="D374" s="4" t="s">
        <v>690</v>
      </c>
      <c r="E374" s="4" t="s">
        <v>950</v>
      </c>
      <c r="F374" s="4">
        <v>9</v>
      </c>
    </row>
    <row r="375" spans="1:6" x14ac:dyDescent="0.45">
      <c r="A375" t="s">
        <v>951</v>
      </c>
      <c r="B375" t="str">
        <f>_xlfn.REGEXREPLACE([1]query1!B375, "https://doi.org/", "")</f>
        <v>10.1007/978-981-15-4301-2</v>
      </c>
      <c r="C375">
        <v>6</v>
      </c>
      <c r="D375" s="4" t="s">
        <v>781</v>
      </c>
      <c r="E375" s="4" t="s">
        <v>952</v>
      </c>
      <c r="F375" s="4">
        <v>9</v>
      </c>
    </row>
    <row r="376" spans="1:6" x14ac:dyDescent="0.45">
      <c r="A376" t="s">
        <v>953</v>
      </c>
      <c r="B376" t="str">
        <f>_xlfn.REGEXREPLACE([1]query1!B376, "https://doi.org/", "")</f>
        <v>10.1371/journal.pone.0261008</v>
      </c>
      <c r="C376">
        <v>6</v>
      </c>
      <c r="D376" s="4" t="s">
        <v>954</v>
      </c>
      <c r="E376" s="4" t="s">
        <v>955</v>
      </c>
      <c r="F376" s="4">
        <v>9</v>
      </c>
    </row>
    <row r="377" spans="1:6" x14ac:dyDescent="0.45">
      <c r="A377" t="s">
        <v>956</v>
      </c>
      <c r="B377" t="str">
        <f>_xlfn.REGEXREPLACE([1]query1!B377, "https://doi.org/", "")</f>
        <v>10.1109/access.2022.3202925</v>
      </c>
      <c r="C377">
        <v>6</v>
      </c>
      <c r="D377" s="4" t="s">
        <v>771</v>
      </c>
      <c r="E377" s="4" t="s">
        <v>957</v>
      </c>
      <c r="F377" s="4">
        <v>9</v>
      </c>
    </row>
    <row r="378" spans="1:6" x14ac:dyDescent="0.45">
      <c r="A378" t="s">
        <v>958</v>
      </c>
      <c r="B378" t="str">
        <f>_xlfn.REGEXREPLACE([1]query1!B378, "https://doi.org/", "")</f>
        <v>10.1080/20964471.2024.2386091</v>
      </c>
      <c r="C378">
        <v>6</v>
      </c>
      <c r="D378" s="4" t="s">
        <v>801</v>
      </c>
      <c r="E378" s="4" t="s">
        <v>959</v>
      </c>
      <c r="F378" s="4">
        <v>9</v>
      </c>
    </row>
    <row r="379" spans="1:6" x14ac:dyDescent="0.45">
      <c r="A379" t="s">
        <v>960</v>
      </c>
      <c r="B379" t="str">
        <f>_xlfn.REGEXREPLACE([1]query1!B379, "https://doi.org/", "")</f>
        <v>10.1111/tgis.13054</v>
      </c>
      <c r="C379">
        <v>6</v>
      </c>
      <c r="D379" s="4" t="s">
        <v>757</v>
      </c>
      <c r="E379" s="4" t="s">
        <v>961</v>
      </c>
      <c r="F379" s="4">
        <v>9</v>
      </c>
    </row>
    <row r="380" spans="1:6" x14ac:dyDescent="0.45">
      <c r="A380" t="s">
        <v>962</v>
      </c>
      <c r="B380" t="str">
        <f>_xlfn.REGEXREPLACE([1]query1!B380, "https://doi.org/", "")</f>
        <v>10.1109/ojap.2022.3228541</v>
      </c>
      <c r="C380">
        <v>6</v>
      </c>
      <c r="D380" s="4" t="s">
        <v>963</v>
      </c>
      <c r="E380" s="4" t="s">
        <v>964</v>
      </c>
      <c r="F380" s="4">
        <v>9</v>
      </c>
    </row>
    <row r="381" spans="1:6" x14ac:dyDescent="0.45">
      <c r="A381" t="s">
        <v>965</v>
      </c>
      <c r="B381" t="str">
        <f>_xlfn.REGEXREPLACE([1]query1!B381, "https://doi.org/", "")</f>
        <v>10.3390/ijgi12080306</v>
      </c>
      <c r="C381">
        <v>6</v>
      </c>
      <c r="D381" s="4" t="s">
        <v>966</v>
      </c>
      <c r="E381" s="4" t="s">
        <v>967</v>
      </c>
      <c r="F381" s="4">
        <v>9</v>
      </c>
    </row>
    <row r="382" spans="1:6" x14ac:dyDescent="0.45">
      <c r="A382" t="s">
        <v>968</v>
      </c>
      <c r="B382" t="str">
        <f>_xlfn.REGEXREPLACE([1]query1!B382, "https://doi.org/", "")</f>
        <v>10.1109/tvt.2024.3356532</v>
      </c>
      <c r="C382">
        <v>6</v>
      </c>
      <c r="D382" s="4" t="s">
        <v>739</v>
      </c>
      <c r="E382" s="4" t="s">
        <v>969</v>
      </c>
      <c r="F382" s="4">
        <v>9</v>
      </c>
    </row>
    <row r="383" spans="1:6" x14ac:dyDescent="0.45">
      <c r="A383" t="s">
        <v>970</v>
      </c>
      <c r="B383" t="str">
        <f>_xlfn.REGEXREPLACE([1]query1!B383, "https://doi.org/", "")</f>
        <v>10.1103/physrevb.110.125414</v>
      </c>
      <c r="C383">
        <v>6</v>
      </c>
      <c r="D383" s="4" t="s">
        <v>768</v>
      </c>
      <c r="E383" s="4" t="s">
        <v>971</v>
      </c>
      <c r="F383" s="4">
        <v>9</v>
      </c>
    </row>
    <row r="384" spans="1:6" x14ac:dyDescent="0.45">
      <c r="A384" t="s">
        <v>972</v>
      </c>
      <c r="B384" t="str">
        <f>_xlfn.REGEXREPLACE([1]query1!B384, "https://doi.org/", "")</f>
        <v>10.1109/tvt.2024.3447908</v>
      </c>
      <c r="C384">
        <v>6</v>
      </c>
      <c r="D384" s="4" t="s">
        <v>973</v>
      </c>
      <c r="E384" s="4" t="s">
        <v>974</v>
      </c>
      <c r="F384" s="4">
        <v>9</v>
      </c>
    </row>
    <row r="385" spans="1:6" x14ac:dyDescent="0.45">
      <c r="A385" t="s">
        <v>975</v>
      </c>
      <c r="B385" t="str">
        <f>_xlfn.REGEXREPLACE([1]query1!B385, "https://doi.org/", "")</f>
        <v>10.1364/oe.476768</v>
      </c>
      <c r="C385">
        <v>6</v>
      </c>
      <c r="D385" s="4" t="s">
        <v>976</v>
      </c>
      <c r="E385" s="4" t="s">
        <v>977</v>
      </c>
      <c r="F385" s="4">
        <v>9</v>
      </c>
    </row>
    <row r="386" spans="1:6" x14ac:dyDescent="0.45">
      <c r="A386" t="s">
        <v>978</v>
      </c>
      <c r="B386" t="str">
        <f>_xlfn.REGEXREPLACE([1]query1!B386, "https://doi.org/", "")</f>
        <v>10.1016/j.insmatheco.2020.01.001</v>
      </c>
      <c r="C386">
        <v>6</v>
      </c>
      <c r="D386" s="4" t="s">
        <v>711</v>
      </c>
      <c r="E386" s="4" t="s">
        <v>979</v>
      </c>
      <c r="F386" s="4">
        <v>9</v>
      </c>
    </row>
    <row r="387" spans="1:6" x14ac:dyDescent="0.45">
      <c r="A387" t="s">
        <v>980</v>
      </c>
      <c r="B387" t="str">
        <f>_xlfn.REGEXREPLACE([1]query1!B387, "https://doi.org/", "")</f>
        <v>10.1063/5.0026591</v>
      </c>
      <c r="C387">
        <v>6</v>
      </c>
      <c r="D387" s="4" t="s">
        <v>981</v>
      </c>
      <c r="E387" s="4" t="s">
        <v>982</v>
      </c>
      <c r="F387" s="4">
        <v>9</v>
      </c>
    </row>
    <row r="388" spans="1:6" x14ac:dyDescent="0.45">
      <c r="A388" t="s">
        <v>983</v>
      </c>
      <c r="B388" t="str">
        <f>_xlfn.REGEXREPLACE([1]query1!B388, "https://doi.org/", "")</f>
        <v>10.1109/cdc49753.2023.10383438</v>
      </c>
      <c r="C388">
        <v>6</v>
      </c>
      <c r="D388" s="4" t="s">
        <v>984</v>
      </c>
      <c r="E388" s="4" t="s">
        <v>985</v>
      </c>
      <c r="F388" s="4">
        <v>9</v>
      </c>
    </row>
    <row r="389" spans="1:6" x14ac:dyDescent="0.45">
      <c r="A389" t="s">
        <v>986</v>
      </c>
      <c r="B389" t="str">
        <f>_xlfn.REGEXREPLACE([1]query1!B389, "https://doi.org/", "")</f>
        <v>10.1109/iros58592.2024.10802517</v>
      </c>
      <c r="C389">
        <v>6</v>
      </c>
      <c r="D389" s="4" t="s">
        <v>953</v>
      </c>
      <c r="E389" s="4" t="s">
        <v>987</v>
      </c>
      <c r="F389" s="4">
        <v>9</v>
      </c>
    </row>
    <row r="390" spans="1:6" x14ac:dyDescent="0.45">
      <c r="A390" t="s">
        <v>988</v>
      </c>
      <c r="B390" t="str">
        <f>_xlfn.REGEXREPLACE([1]query1!B390, "https://doi.org/", "")</f>
        <v>10.1017/jog.2020.45</v>
      </c>
      <c r="C390">
        <v>6</v>
      </c>
      <c r="D390" s="4" t="s">
        <v>989</v>
      </c>
      <c r="E390" s="4" t="s">
        <v>990</v>
      </c>
      <c r="F390" s="4">
        <v>9</v>
      </c>
    </row>
    <row r="391" spans="1:6" x14ac:dyDescent="0.45">
      <c r="A391" t="s">
        <v>991</v>
      </c>
      <c r="B391" t="str">
        <f>_xlfn.REGEXREPLACE([1]query1!B391, "https://doi.org/", "")</f>
        <v>10.1111/gean.12279</v>
      </c>
      <c r="C391">
        <v>6</v>
      </c>
      <c r="D391" s="4" t="s">
        <v>847</v>
      </c>
      <c r="E391" s="4" t="s">
        <v>992</v>
      </c>
      <c r="F391" s="4">
        <v>9</v>
      </c>
    </row>
    <row r="392" spans="1:6" x14ac:dyDescent="0.45">
      <c r="A392" t="s">
        <v>993</v>
      </c>
      <c r="B392" t="str">
        <f>_xlfn.REGEXREPLACE([1]query1!B392, "https://doi.org/", "")</f>
        <v>10.1016/j.jsg.2022.104644</v>
      </c>
      <c r="C392">
        <v>6</v>
      </c>
      <c r="D392" s="4" t="s">
        <v>994</v>
      </c>
      <c r="E392" s="4" t="s">
        <v>995</v>
      </c>
      <c r="F392" s="4">
        <v>9</v>
      </c>
    </row>
    <row r="393" spans="1:6" x14ac:dyDescent="0.45">
      <c r="A393" t="s">
        <v>996</v>
      </c>
      <c r="B393" t="str">
        <f>_xlfn.REGEXREPLACE([1]query1!B393, "https://doi.org/", "")</f>
        <v>10.1007/s10668-024-04485-w</v>
      </c>
      <c r="C393">
        <v>6</v>
      </c>
      <c r="D393" s="4" t="s">
        <v>464</v>
      </c>
      <c r="E393" s="4" t="s">
        <v>997</v>
      </c>
      <c r="F393" s="4">
        <v>9</v>
      </c>
    </row>
    <row r="394" spans="1:6" x14ac:dyDescent="0.45">
      <c r="A394" t="s">
        <v>998</v>
      </c>
      <c r="B394" t="str">
        <f>_xlfn.REGEXREPLACE([1]query1!B394, "https://doi.org/", "")</f>
        <v>10.1109/lra.2021.3098332</v>
      </c>
      <c r="C394">
        <v>6</v>
      </c>
      <c r="D394" s="4" t="s">
        <v>642</v>
      </c>
      <c r="E394" s="4" t="s">
        <v>999</v>
      </c>
      <c r="F394" s="4">
        <v>9</v>
      </c>
    </row>
    <row r="395" spans="1:6" x14ac:dyDescent="0.45">
      <c r="A395" t="s">
        <v>1000</v>
      </c>
      <c r="B395" t="str">
        <f>_xlfn.REGEXREPLACE([1]query1!B395, "https://doi.org/", "")</f>
        <v>10.1038/s41598-022-15203-9</v>
      </c>
      <c r="C395">
        <v>6</v>
      </c>
      <c r="D395" s="4" t="s">
        <v>1001</v>
      </c>
      <c r="E395" s="4" t="s">
        <v>1002</v>
      </c>
      <c r="F395" s="4">
        <v>9</v>
      </c>
    </row>
    <row r="396" spans="1:6" x14ac:dyDescent="0.45">
      <c r="A396" t="s">
        <v>1003</v>
      </c>
      <c r="B396" t="str">
        <f>_xlfn.REGEXREPLACE([1]query1!B396, "https://doi.org/", "")</f>
        <v>10.1109/tmc.2020.2969352</v>
      </c>
      <c r="C396">
        <v>6</v>
      </c>
      <c r="D396" s="4" t="s">
        <v>532</v>
      </c>
      <c r="E396" s="4" t="s">
        <v>1004</v>
      </c>
      <c r="F396" s="4">
        <v>9</v>
      </c>
    </row>
    <row r="397" spans="1:6" x14ac:dyDescent="0.45">
      <c r="A397" t="s">
        <v>1005</v>
      </c>
      <c r="B397" t="str">
        <f>_xlfn.REGEXREPLACE([1]query1!B397, "https://doi.org/", "")</f>
        <v>10.1002/nafm.10719</v>
      </c>
      <c r="C397">
        <v>6</v>
      </c>
      <c r="D397" s="4" t="s">
        <v>1006</v>
      </c>
      <c r="E397" s="4" t="s">
        <v>1007</v>
      </c>
      <c r="F397" s="4">
        <v>9</v>
      </c>
    </row>
    <row r="398" spans="1:6" x14ac:dyDescent="0.45">
      <c r="A398" t="s">
        <v>1008</v>
      </c>
      <c r="B398" t="str">
        <f>_xlfn.REGEXREPLACE([1]query1!B398, "https://doi.org/", "")</f>
        <v>10.3389/feart.2022.916069</v>
      </c>
      <c r="C398">
        <v>5</v>
      </c>
      <c r="D398" s="4" t="s">
        <v>1009</v>
      </c>
      <c r="E398" s="4" t="s">
        <v>1010</v>
      </c>
      <c r="F398" s="4">
        <v>9</v>
      </c>
    </row>
    <row r="399" spans="1:6" x14ac:dyDescent="0.45">
      <c r="A399" t="s">
        <v>1011</v>
      </c>
      <c r="B399" t="str">
        <f>_xlfn.REGEXREPLACE([1]query1!B399, "https://doi.org/", "")</f>
        <v>10.1007/s10346-024-02346-1</v>
      </c>
      <c r="C399">
        <v>5</v>
      </c>
      <c r="D399" s="4" t="s">
        <v>1012</v>
      </c>
      <c r="E399" s="4" t="s">
        <v>1013</v>
      </c>
      <c r="F399" s="4">
        <v>9</v>
      </c>
    </row>
    <row r="400" spans="1:6" x14ac:dyDescent="0.45">
      <c r="A400" t="s">
        <v>1014</v>
      </c>
      <c r="B400" t="str">
        <f>_xlfn.REGEXREPLACE([1]query1!B400, "https://doi.org/", "")</f>
        <v>10.1109/wsc57314.2022.10015490</v>
      </c>
      <c r="C400">
        <v>5</v>
      </c>
      <c r="D400" s="4" t="s">
        <v>706</v>
      </c>
      <c r="E400" s="4" t="s">
        <v>1015</v>
      </c>
      <c r="F400" s="4">
        <v>9</v>
      </c>
    </row>
    <row r="401" spans="1:6" x14ac:dyDescent="0.45">
      <c r="A401" t="s">
        <v>1016</v>
      </c>
      <c r="B401" t="str">
        <f>_xlfn.REGEXREPLACE([1]query1!B401, "https://doi.org/", "")</f>
        <v>10.1101/2024.06.29.601123</v>
      </c>
      <c r="C401">
        <v>5</v>
      </c>
      <c r="D401" s="4" t="s">
        <v>760</v>
      </c>
      <c r="E401" s="4" t="s">
        <v>1017</v>
      </c>
      <c r="F401" s="4">
        <v>9</v>
      </c>
    </row>
    <row r="402" spans="1:6" x14ac:dyDescent="0.45">
      <c r="A402" t="s">
        <v>1018</v>
      </c>
      <c r="B402" t="str">
        <f>_xlfn.REGEXREPLACE([1]query1!B402, "https://doi.org/", "")</f>
        <v>10.22541/essoar.168394747.71837050/v1</v>
      </c>
      <c r="C402">
        <v>5</v>
      </c>
      <c r="D402" s="4" t="s">
        <v>1019</v>
      </c>
      <c r="E402" s="4" t="s">
        <v>1020</v>
      </c>
      <c r="F402" s="4">
        <v>9</v>
      </c>
    </row>
    <row r="403" spans="1:6" x14ac:dyDescent="0.45">
      <c r="A403" t="s">
        <v>1021</v>
      </c>
      <c r="B403" t="str">
        <f>_xlfn.REGEXREPLACE([1]query1!B403, "https://doi.org/", "")</f>
        <v>10.1177/0272989x20945308</v>
      </c>
      <c r="C403">
        <v>5</v>
      </c>
      <c r="D403" s="4" t="s">
        <v>923</v>
      </c>
      <c r="E403" s="4" t="s">
        <v>1022</v>
      </c>
      <c r="F403" s="4">
        <v>8</v>
      </c>
    </row>
    <row r="404" spans="1:6" x14ac:dyDescent="0.45">
      <c r="A404" t="s">
        <v>1023</v>
      </c>
      <c r="B404" t="str">
        <f>_xlfn.REGEXREPLACE([1]query1!B404, "https://doi.org/", "")</f>
        <v>10.1016/j.rsase.2024.101221</v>
      </c>
      <c r="C404">
        <v>5</v>
      </c>
      <c r="D404" s="4" t="s">
        <v>744</v>
      </c>
      <c r="E404" s="4" t="s">
        <v>1024</v>
      </c>
      <c r="F404" s="4">
        <v>8</v>
      </c>
    </row>
    <row r="405" spans="1:6" x14ac:dyDescent="0.45">
      <c r="A405" t="s">
        <v>1025</v>
      </c>
      <c r="B405" t="str">
        <f>_xlfn.REGEXREPLACE([1]query1!B405, "https://doi.org/", "")</f>
        <v>10.1080/09546553.2020.1763962</v>
      </c>
      <c r="C405">
        <v>5</v>
      </c>
      <c r="D405" s="4" t="s">
        <v>734</v>
      </c>
      <c r="E405" s="4" t="s">
        <v>1026</v>
      </c>
      <c r="F405" s="4">
        <v>8</v>
      </c>
    </row>
    <row r="406" spans="1:6" x14ac:dyDescent="0.45">
      <c r="A406" t="s">
        <v>1027</v>
      </c>
      <c r="B406" t="str">
        <f>_xlfn.REGEXREPLACE([1]query1!B406, "https://doi.org/", "")</f>
        <v>10.1007/s10704-023-00704-z</v>
      </c>
      <c r="C406">
        <v>5</v>
      </c>
      <c r="D406" s="4" t="s">
        <v>1028</v>
      </c>
      <c r="E406" s="4" t="s">
        <v>1029</v>
      </c>
      <c r="F406" s="4">
        <v>8</v>
      </c>
    </row>
    <row r="407" spans="1:6" x14ac:dyDescent="0.45">
      <c r="A407" t="s">
        <v>1030</v>
      </c>
      <c r="B407" t="str">
        <f>_xlfn.REGEXREPLACE([1]query1!B407, "https://doi.org/", "")</f>
        <v>10.1016/j.eneco.2024.107949</v>
      </c>
      <c r="C407">
        <v>5</v>
      </c>
      <c r="D407" s="4" t="s">
        <v>1031</v>
      </c>
      <c r="E407" s="4" t="s">
        <v>1032</v>
      </c>
      <c r="F407" s="4">
        <v>8</v>
      </c>
    </row>
    <row r="408" spans="1:6" x14ac:dyDescent="0.45">
      <c r="A408" t="s">
        <v>1033</v>
      </c>
      <c r="B408" t="str">
        <f>_xlfn.REGEXREPLACE([1]query1!B408, "https://doi.org/", "")</f>
        <v>10.1017/asb.2024.6</v>
      </c>
      <c r="C408">
        <v>5</v>
      </c>
      <c r="D408" s="4" t="s">
        <v>669</v>
      </c>
      <c r="E408" s="4" t="s">
        <v>1034</v>
      </c>
      <c r="F408" s="4">
        <v>8</v>
      </c>
    </row>
    <row r="409" spans="1:6" x14ac:dyDescent="0.45">
      <c r="A409" t="s">
        <v>1035</v>
      </c>
      <c r="B409" t="str">
        <f>_xlfn.REGEXREPLACE([1]query1!B409, "https://doi.org/", "")</f>
        <v>10.1140/epjs/s11734-022-00612-8</v>
      </c>
      <c r="C409">
        <v>5</v>
      </c>
      <c r="D409" s="4" t="s">
        <v>880</v>
      </c>
      <c r="E409" s="4" t="s">
        <v>1036</v>
      </c>
      <c r="F409" s="4">
        <v>8</v>
      </c>
    </row>
    <row r="410" spans="1:6" x14ac:dyDescent="0.45">
      <c r="A410" t="s">
        <v>1037</v>
      </c>
      <c r="B410" t="str">
        <f>_xlfn.REGEXREPLACE([1]query1!B410, "https://doi.org/", "")</f>
        <v>10.1177/2167702620954797</v>
      </c>
      <c r="C410">
        <v>5</v>
      </c>
      <c r="D410" s="4" t="s">
        <v>1038</v>
      </c>
      <c r="E410" s="4" t="s">
        <v>1039</v>
      </c>
      <c r="F410" s="4">
        <v>8</v>
      </c>
    </row>
    <row r="411" spans="1:6" x14ac:dyDescent="0.45">
      <c r="A411" t="s">
        <v>1040</v>
      </c>
      <c r="B411" t="str">
        <f>_xlfn.REGEXREPLACE([1]query1!B411, "https://doi.org/", "")</f>
        <v>10.1016/j.physd.2023.133670</v>
      </c>
      <c r="C411">
        <v>5</v>
      </c>
      <c r="D411" s="4" t="s">
        <v>1041</v>
      </c>
      <c r="E411" s="4" t="s">
        <v>1042</v>
      </c>
      <c r="F411" s="4">
        <v>8</v>
      </c>
    </row>
    <row r="412" spans="1:6" x14ac:dyDescent="0.45">
      <c r="A412" t="s">
        <v>1043</v>
      </c>
      <c r="B412" t="str">
        <f>_xlfn.REGEXREPLACE([1]query1!B412, "https://doi.org/", "")</f>
        <v>10.1103/physrevb.103.054201</v>
      </c>
      <c r="C412">
        <v>5</v>
      </c>
      <c r="D412" s="4" t="s">
        <v>817</v>
      </c>
      <c r="E412" s="4" t="s">
        <v>1044</v>
      </c>
      <c r="F412" s="4">
        <v>8</v>
      </c>
    </row>
    <row r="413" spans="1:6" x14ac:dyDescent="0.45">
      <c r="A413" t="s">
        <v>1045</v>
      </c>
      <c r="B413" t="str">
        <f>_xlfn.REGEXREPLACE([1]query1!B413, "https://doi.org/", "")</f>
        <v>10.3390/electronics12040860</v>
      </c>
      <c r="C413">
        <v>5</v>
      </c>
      <c r="D413" s="4" t="s">
        <v>1046</v>
      </c>
      <c r="E413" s="4" t="s">
        <v>1047</v>
      </c>
      <c r="F413" s="4">
        <v>8</v>
      </c>
    </row>
    <row r="414" spans="1:6" x14ac:dyDescent="0.45">
      <c r="A414" t="s">
        <v>1048</v>
      </c>
      <c r="B414" t="str">
        <f>_xlfn.REGEXREPLACE([1]query1!B414, "https://doi.org/", "")</f>
        <v>10.1016/j.sna.2023.114728</v>
      </c>
      <c r="C414">
        <v>5</v>
      </c>
      <c r="D414" s="4" t="s">
        <v>844</v>
      </c>
      <c r="E414" s="4" t="s">
        <v>1049</v>
      </c>
      <c r="F414" s="4">
        <v>8</v>
      </c>
    </row>
    <row r="415" spans="1:6" x14ac:dyDescent="0.45">
      <c r="A415" t="s">
        <v>1050</v>
      </c>
      <c r="B415" t="str">
        <f>_xlfn.REGEXREPLACE([1]query1!B415, "https://doi.org/", "")</f>
        <v>10.1109/lcomm.2023.3315010</v>
      </c>
      <c r="C415">
        <v>5</v>
      </c>
      <c r="D415" s="4" t="s">
        <v>1051</v>
      </c>
      <c r="E415" s="4" t="s">
        <v>1052</v>
      </c>
      <c r="F415" s="4">
        <v>8</v>
      </c>
    </row>
    <row r="416" spans="1:6" x14ac:dyDescent="0.45">
      <c r="A416" t="s">
        <v>525</v>
      </c>
      <c r="B416" t="str">
        <f>_xlfn.REGEXREPLACE([1]query1!B416, "https://doi.org/", "")</f>
        <v>10.21203/rs.3.rs-1146923/v3</v>
      </c>
      <c r="C416">
        <v>5</v>
      </c>
      <c r="D416" s="4" t="s">
        <v>752</v>
      </c>
      <c r="E416" s="4" t="s">
        <v>1053</v>
      </c>
      <c r="F416" s="4">
        <v>8</v>
      </c>
    </row>
    <row r="417" spans="1:6" x14ac:dyDescent="0.45">
      <c r="A417" t="s">
        <v>1054</v>
      </c>
      <c r="B417" t="str">
        <f>_xlfn.REGEXREPLACE([1]query1!B417, "https://doi.org/", "")</f>
        <v>10.3390/s22186866</v>
      </c>
      <c r="C417">
        <v>5</v>
      </c>
      <c r="D417" s="4" t="s">
        <v>1055</v>
      </c>
      <c r="E417" s="4" t="s">
        <v>1056</v>
      </c>
      <c r="F417" s="4">
        <v>8</v>
      </c>
    </row>
    <row r="418" spans="1:6" x14ac:dyDescent="0.45">
      <c r="A418" t="s">
        <v>318</v>
      </c>
      <c r="B418" t="str">
        <f>_xlfn.REGEXREPLACE([1]query1!B418, "https://doi.org/", "")</f>
        <v>10.1101/2021.01.12.21249707</v>
      </c>
      <c r="C418">
        <v>5</v>
      </c>
      <c r="D418" s="4" t="s">
        <v>671</v>
      </c>
      <c r="E418" s="4" t="s">
        <v>1057</v>
      </c>
      <c r="F418" s="4">
        <v>8</v>
      </c>
    </row>
    <row r="419" spans="1:6" x14ac:dyDescent="0.45">
      <c r="A419" t="s">
        <v>1058</v>
      </c>
      <c r="B419" t="str">
        <f>_xlfn.REGEXREPLACE([1]query1!B419, "https://doi.org/", "")</f>
        <v>10.1002/pst.2005</v>
      </c>
      <c r="C419">
        <v>5</v>
      </c>
      <c r="D419" s="4" t="s">
        <v>821</v>
      </c>
      <c r="E419" s="4" t="s">
        <v>1059</v>
      </c>
      <c r="F419" s="4">
        <v>8</v>
      </c>
    </row>
    <row r="420" spans="1:6" x14ac:dyDescent="0.45">
      <c r="A420" t="s">
        <v>1060</v>
      </c>
      <c r="B420" t="str">
        <f>_xlfn.REGEXREPLACE([1]query1!B420, "https://doi.org/", "")</f>
        <v>10.1103/physrevresearch.6.033055</v>
      </c>
      <c r="C420">
        <v>5</v>
      </c>
      <c r="D420" s="4" t="s">
        <v>787</v>
      </c>
      <c r="E420" s="4" t="s">
        <v>1061</v>
      </c>
      <c r="F420" s="4">
        <v>8</v>
      </c>
    </row>
    <row r="421" spans="1:6" x14ac:dyDescent="0.45">
      <c r="A421" t="s">
        <v>1062</v>
      </c>
      <c r="B421" t="str">
        <f>_xlfn.REGEXREPLACE([1]query1!B421, "https://doi.org/", "")</f>
        <v>10.2514/6.2022-2048</v>
      </c>
      <c r="C421">
        <v>5</v>
      </c>
      <c r="D421" s="4" t="s">
        <v>686</v>
      </c>
      <c r="E421" s="4" t="s">
        <v>1063</v>
      </c>
      <c r="F421" s="4">
        <v>8</v>
      </c>
    </row>
    <row r="422" spans="1:6" x14ac:dyDescent="0.45">
      <c r="A422" t="s">
        <v>1064</v>
      </c>
      <c r="B422" t="str">
        <f>_xlfn.REGEXREPLACE([1]query1!B422, "https://doi.org/", "")</f>
        <v>10.1093/icesjms/fsae009</v>
      </c>
      <c r="C422">
        <v>5</v>
      </c>
      <c r="D422" s="4" t="s">
        <v>726</v>
      </c>
      <c r="E422" s="4" t="s">
        <v>1065</v>
      </c>
      <c r="F422" s="4">
        <v>8</v>
      </c>
    </row>
    <row r="423" spans="1:6" x14ac:dyDescent="0.45">
      <c r="A423" t="s">
        <v>1031</v>
      </c>
      <c r="B423" t="str">
        <f>_xlfn.REGEXREPLACE([1]query1!B423, "https://doi.org/", "")</f>
        <v>10.1109/jsac.2024.3414627</v>
      </c>
      <c r="C423">
        <v>5</v>
      </c>
      <c r="D423" s="4" t="s">
        <v>1066</v>
      </c>
      <c r="E423" s="4" t="s">
        <v>1067</v>
      </c>
      <c r="F423" s="4">
        <v>8</v>
      </c>
    </row>
    <row r="424" spans="1:6" x14ac:dyDescent="0.45">
      <c r="A424" t="s">
        <v>1068</v>
      </c>
      <c r="B424" t="str">
        <f>_xlfn.REGEXREPLACE([1]query1!B424, "https://doi.org/", "")</f>
        <v>10.5194/egusphere-egu21-8471</v>
      </c>
      <c r="C424">
        <v>5</v>
      </c>
      <c r="D424" s="4" t="s">
        <v>592</v>
      </c>
      <c r="E424" s="4" t="s">
        <v>1069</v>
      </c>
      <c r="F424" s="4">
        <v>8</v>
      </c>
    </row>
    <row r="425" spans="1:6" x14ac:dyDescent="0.45">
      <c r="A425" t="s">
        <v>1070</v>
      </c>
      <c r="B425" t="str">
        <f>_xlfn.REGEXREPLACE([1]query1!B425, "https://doi.org/", "")</f>
        <v>10.1029/2023wr035983</v>
      </c>
      <c r="C425">
        <v>5</v>
      </c>
      <c r="D425" s="4" t="s">
        <v>1071</v>
      </c>
      <c r="E425" s="4" t="s">
        <v>1072</v>
      </c>
      <c r="F425" s="4">
        <v>8</v>
      </c>
    </row>
    <row r="426" spans="1:6" x14ac:dyDescent="0.45">
      <c r="A426" t="s">
        <v>1073</v>
      </c>
      <c r="B426" t="str">
        <f>_xlfn.REGEXREPLACE([1]query1!B426, "https://doi.org/", "")</f>
        <v>10.1086/712919</v>
      </c>
      <c r="C426">
        <v>5</v>
      </c>
      <c r="D426" s="4" t="s">
        <v>1074</v>
      </c>
      <c r="E426" s="4"/>
      <c r="F426" s="4">
        <v>8</v>
      </c>
    </row>
    <row r="427" spans="1:6" x14ac:dyDescent="0.45">
      <c r="A427" t="s">
        <v>1075</v>
      </c>
      <c r="B427" t="str">
        <f>_xlfn.REGEXREPLACE([1]query1!B427, "https://doi.org/", "")</f>
        <v>10.1037/pas0000938</v>
      </c>
      <c r="C427">
        <v>5</v>
      </c>
      <c r="D427" s="4" t="s">
        <v>1076</v>
      </c>
      <c r="E427" s="4" t="s">
        <v>1077</v>
      </c>
      <c r="F427" s="4">
        <v>8</v>
      </c>
    </row>
    <row r="428" spans="1:6" x14ac:dyDescent="0.45">
      <c r="A428" t="s">
        <v>1078</v>
      </c>
      <c r="B428" t="str">
        <f>_xlfn.REGEXREPLACE([1]query1!B428, "https://doi.org/", "")</f>
        <v>10.1103/physrevb.108.245130</v>
      </c>
      <c r="C428">
        <v>5</v>
      </c>
      <c r="D428" s="4" t="s">
        <v>1079</v>
      </c>
      <c r="E428" s="4" t="s">
        <v>1080</v>
      </c>
      <c r="F428" s="4">
        <v>8</v>
      </c>
    </row>
    <row r="429" spans="1:6" x14ac:dyDescent="0.45">
      <c r="A429" t="s">
        <v>1081</v>
      </c>
      <c r="B429" t="str">
        <f>_xlfn.REGEXREPLACE([1]query1!B429, "https://doi.org/", "")</f>
        <v>10.2139/ssrn.3584895</v>
      </c>
      <c r="C429">
        <v>5</v>
      </c>
      <c r="D429" s="4" t="s">
        <v>1082</v>
      </c>
      <c r="E429" s="4" t="s">
        <v>1083</v>
      </c>
      <c r="F429" s="4">
        <v>8</v>
      </c>
    </row>
    <row r="430" spans="1:6" x14ac:dyDescent="0.45">
      <c r="A430" t="s">
        <v>1084</v>
      </c>
      <c r="B430" t="str">
        <f>_xlfn.REGEXREPLACE([1]query1!B430, "https://doi.org/", "")</f>
        <v>10.5194/nhess-24-1779-2024</v>
      </c>
      <c r="C430">
        <v>5</v>
      </c>
      <c r="D430" s="4" t="s">
        <v>1085</v>
      </c>
      <c r="E430" s="4" t="s">
        <v>1086</v>
      </c>
      <c r="F430" s="4">
        <v>8</v>
      </c>
    </row>
    <row r="431" spans="1:6" x14ac:dyDescent="0.45">
      <c r="A431" t="s">
        <v>779</v>
      </c>
      <c r="B431" t="str">
        <f>_xlfn.REGEXREPLACE([1]query1!B431, "https://doi.org/", "")</f>
        <v>10.5194/bg-2022-168</v>
      </c>
      <c r="C431">
        <v>5</v>
      </c>
      <c r="D431" s="4" t="s">
        <v>1023</v>
      </c>
      <c r="E431" s="4" t="s">
        <v>1087</v>
      </c>
      <c r="F431" s="4">
        <v>7</v>
      </c>
    </row>
    <row r="432" spans="1:6" x14ac:dyDescent="0.45">
      <c r="A432" t="s">
        <v>1088</v>
      </c>
      <c r="B432" t="str">
        <f>_xlfn.REGEXREPLACE([1]query1!B432, "https://doi.org/", "")</f>
        <v>10.1002/rob.22332</v>
      </c>
      <c r="C432">
        <v>5</v>
      </c>
      <c r="D432" s="4" t="s">
        <v>968</v>
      </c>
      <c r="E432" s="4" t="s">
        <v>1089</v>
      </c>
      <c r="F432" s="4">
        <v>7</v>
      </c>
    </row>
    <row r="433" spans="1:6" x14ac:dyDescent="0.45">
      <c r="A433" t="s">
        <v>1090</v>
      </c>
      <c r="B433" t="str">
        <f>_xlfn.REGEXREPLACE([1]query1!B433, "https://doi.org/", "")</f>
        <v>10.3390/rs15153702</v>
      </c>
      <c r="C433">
        <v>4</v>
      </c>
      <c r="D433" s="4" t="s">
        <v>823</v>
      </c>
      <c r="E433" s="4" t="s">
        <v>1091</v>
      </c>
      <c r="F433" s="4">
        <v>7</v>
      </c>
    </row>
    <row r="434" spans="1:6" x14ac:dyDescent="0.45">
      <c r="A434" t="s">
        <v>1092</v>
      </c>
      <c r="B434" t="str">
        <f>_xlfn.REGEXREPLACE([1]query1!B434, "https://doi.org/", "")</f>
        <v>10.23919/eucap48036.2020.9135989</v>
      </c>
      <c r="C434">
        <v>4</v>
      </c>
      <c r="D434" s="4" t="s">
        <v>815</v>
      </c>
      <c r="E434" s="4" t="s">
        <v>1093</v>
      </c>
      <c r="F434" s="4">
        <v>7</v>
      </c>
    </row>
    <row r="435" spans="1:6" x14ac:dyDescent="0.45">
      <c r="A435" t="s">
        <v>1094</v>
      </c>
      <c r="B435" t="str">
        <f>_xlfn.REGEXREPLACE([1]query1!B435, "https://doi.org/", "")</f>
        <v>10.1016/j.ifacol.2020.12.2286</v>
      </c>
      <c r="C435">
        <v>4</v>
      </c>
      <c r="D435" s="4" t="s">
        <v>869</v>
      </c>
      <c r="E435" s="4" t="s">
        <v>1095</v>
      </c>
      <c r="F435" s="4">
        <v>7</v>
      </c>
    </row>
    <row r="436" spans="1:6" x14ac:dyDescent="0.45">
      <c r="A436" t="s">
        <v>1096</v>
      </c>
      <c r="B436" t="str">
        <f>_xlfn.REGEXREPLACE([1]query1!B436, "https://doi.org/", "")</f>
        <v>10.2139/ssrn.4306904</v>
      </c>
      <c r="C436">
        <v>4</v>
      </c>
      <c r="D436" s="4" t="s">
        <v>1048</v>
      </c>
      <c r="E436" s="4" t="s">
        <v>1097</v>
      </c>
      <c r="F436" s="4">
        <v>7</v>
      </c>
    </row>
    <row r="437" spans="1:6" x14ac:dyDescent="0.45">
      <c r="A437" t="s">
        <v>1098</v>
      </c>
      <c r="B437" t="str">
        <f>_xlfn.REGEXREPLACE([1]query1!B437, "https://doi.org/", "")</f>
        <v>10.1101/2021.08.10.21261872</v>
      </c>
      <c r="C437">
        <v>4</v>
      </c>
      <c r="D437" s="4" t="s">
        <v>1099</v>
      </c>
      <c r="E437" s="4" t="s">
        <v>1100</v>
      </c>
      <c r="F437" s="4">
        <v>7</v>
      </c>
    </row>
    <row r="438" spans="1:6" x14ac:dyDescent="0.45">
      <c r="A438" t="s">
        <v>1101</v>
      </c>
      <c r="B438" t="str">
        <f>_xlfn.REGEXREPLACE([1]query1!B438, "https://doi.org/", "")</f>
        <v>10.1145/3382507.3421156</v>
      </c>
      <c r="C438">
        <v>4</v>
      </c>
      <c r="D438" s="4" t="s">
        <v>1050</v>
      </c>
      <c r="E438" s="4" t="s">
        <v>1102</v>
      </c>
      <c r="F438" s="4">
        <v>7</v>
      </c>
    </row>
    <row r="439" spans="1:6" x14ac:dyDescent="0.45">
      <c r="A439" t="s">
        <v>1103</v>
      </c>
      <c r="B439" t="str">
        <f>_xlfn.REGEXREPLACE([1]query1!B439, "https://doi.org/", "")</f>
        <v>10.1609/icaps.v34i1.31520</v>
      </c>
      <c r="C439">
        <v>4</v>
      </c>
      <c r="D439" s="4" t="s">
        <v>819</v>
      </c>
      <c r="E439" s="4" t="s">
        <v>1104</v>
      </c>
      <c r="F439" s="4">
        <v>7</v>
      </c>
    </row>
    <row r="440" spans="1:6" x14ac:dyDescent="0.45">
      <c r="A440" t="s">
        <v>1105</v>
      </c>
      <c r="B440" t="str">
        <f>_xlfn.REGEXREPLACE([1]query1!B440, "https://doi.org/", "")</f>
        <v>10.1115/jrc2022-78005</v>
      </c>
      <c r="C440">
        <v>4</v>
      </c>
      <c r="D440" s="4" t="s">
        <v>1106</v>
      </c>
      <c r="E440" s="4" t="s">
        <v>1107</v>
      </c>
      <c r="F440" s="4">
        <v>7</v>
      </c>
    </row>
    <row r="441" spans="1:6" x14ac:dyDescent="0.45">
      <c r="A441" t="s">
        <v>1108</v>
      </c>
      <c r="B441" t="str">
        <f>_xlfn.REGEXREPLACE([1]query1!B441, "https://doi.org/", "")</f>
        <v>10.1016/j.ijresmar.2021.11.001</v>
      </c>
      <c r="C441">
        <v>4</v>
      </c>
      <c r="D441" s="4" t="s">
        <v>1109</v>
      </c>
      <c r="E441" s="4" t="s">
        <v>1110</v>
      </c>
      <c r="F441" s="4">
        <v>7</v>
      </c>
    </row>
    <row r="442" spans="1:6" x14ac:dyDescent="0.45">
      <c r="A442" t="s">
        <v>1111</v>
      </c>
      <c r="B442" t="str">
        <f>_xlfn.REGEXREPLACE([1]query1!B442, "https://doi.org/", "")</f>
        <v>10.23919/ursigass49373.2020.9232031</v>
      </c>
      <c r="C442">
        <v>4</v>
      </c>
      <c r="D442" s="4" t="s">
        <v>1112</v>
      </c>
      <c r="E442" s="4" t="s">
        <v>1113</v>
      </c>
      <c r="F442" s="4">
        <v>7</v>
      </c>
    </row>
    <row r="443" spans="1:6" x14ac:dyDescent="0.45">
      <c r="A443" t="s">
        <v>1114</v>
      </c>
      <c r="B443" t="str">
        <f>_xlfn.REGEXREPLACE([1]query1!B443, "https://doi.org/", "")</f>
        <v>10.1364/boe.528579</v>
      </c>
      <c r="C443">
        <v>4</v>
      </c>
      <c r="D443" s="4" t="s">
        <v>1062</v>
      </c>
      <c r="E443" s="4" t="s">
        <v>1115</v>
      </c>
      <c r="F443" s="4">
        <v>7</v>
      </c>
    </row>
    <row r="444" spans="1:6" x14ac:dyDescent="0.45">
      <c r="A444" t="s">
        <v>1116</v>
      </c>
      <c r="B444" t="str">
        <f>_xlfn.REGEXREPLACE([1]query1!B444, "https://doi.org/", "")</f>
        <v>10.1016/j.nimb.2022.11.006</v>
      </c>
      <c r="C444">
        <v>4</v>
      </c>
      <c r="D444" s="4" t="s">
        <v>1117</v>
      </c>
      <c r="E444" s="4" t="s">
        <v>1118</v>
      </c>
      <c r="F444" s="4">
        <v>7</v>
      </c>
    </row>
    <row r="445" spans="1:6" x14ac:dyDescent="0.45">
      <c r="A445" t="s">
        <v>1119</v>
      </c>
      <c r="B445" t="str">
        <f>_xlfn.REGEXREPLACE([1]query1!B445, "https://doi.org/", "")</f>
        <v>10.1007/s12220-023-01282-1</v>
      </c>
      <c r="C445">
        <v>4</v>
      </c>
      <c r="D445" s="4" t="s">
        <v>859</v>
      </c>
      <c r="E445" s="4" t="s">
        <v>1120</v>
      </c>
      <c r="F445" s="4">
        <v>7</v>
      </c>
    </row>
    <row r="446" spans="1:6" x14ac:dyDescent="0.45">
      <c r="A446" t="s">
        <v>1121</v>
      </c>
      <c r="B446" t="str">
        <f>_xlfn.REGEXREPLACE([1]query1!B446, "https://doi.org/", "")</f>
        <v>10.1103/physreva.104.012619</v>
      </c>
      <c r="C446">
        <v>4</v>
      </c>
      <c r="D446" s="4" t="s">
        <v>1122</v>
      </c>
      <c r="E446" s="4" t="s">
        <v>1123</v>
      </c>
      <c r="F446" s="4">
        <v>7</v>
      </c>
    </row>
    <row r="447" spans="1:6" x14ac:dyDescent="0.45">
      <c r="A447" t="s">
        <v>1124</v>
      </c>
      <c r="B447" t="str">
        <f>_xlfn.REGEXREPLACE([1]query1!B447, "https://doi.org/", "")</f>
        <v>10.1002/aisy.202100003</v>
      </c>
      <c r="C447">
        <v>4</v>
      </c>
      <c r="D447" s="4" t="s">
        <v>673</v>
      </c>
      <c r="E447" s="4" t="s">
        <v>1125</v>
      </c>
      <c r="F447" s="4">
        <v>7</v>
      </c>
    </row>
    <row r="448" spans="1:6" x14ac:dyDescent="0.45">
      <c r="A448" t="s">
        <v>1126</v>
      </c>
      <c r="B448" t="str">
        <f>_xlfn.REGEXREPLACE([1]query1!B448, "https://doi.org/", "")</f>
        <v>10.1007/s11222-022-10117-y</v>
      </c>
      <c r="C448">
        <v>4</v>
      </c>
      <c r="D448" s="4" t="s">
        <v>698</v>
      </c>
      <c r="E448" s="4" t="s">
        <v>1127</v>
      </c>
      <c r="F448" s="4">
        <v>7</v>
      </c>
    </row>
    <row r="449" spans="1:6" x14ac:dyDescent="0.45">
      <c r="A449" t="s">
        <v>1128</v>
      </c>
      <c r="B449" t="str">
        <f>_xlfn.REGEXREPLACE([1]query1!B449, "https://doi.org/", "")</f>
        <v>10.2139/ssrn.4344952</v>
      </c>
      <c r="C449">
        <v>4</v>
      </c>
      <c r="D449" s="4" t="s">
        <v>807</v>
      </c>
      <c r="E449" s="4" t="s">
        <v>1129</v>
      </c>
      <c r="F449" s="4">
        <v>7</v>
      </c>
    </row>
    <row r="450" spans="1:6" x14ac:dyDescent="0.45">
      <c r="A450" t="s">
        <v>1130</v>
      </c>
      <c r="B450" t="str">
        <f>_xlfn.REGEXREPLACE([1]query1!B450, "https://doi.org/", "")</f>
        <v>10.1109/icc40277.2020.9148995</v>
      </c>
      <c r="C450">
        <v>4</v>
      </c>
      <c r="D450" s="4" t="s">
        <v>812</v>
      </c>
      <c r="E450" s="4" t="s">
        <v>1131</v>
      </c>
      <c r="F450" s="4">
        <v>7</v>
      </c>
    </row>
    <row r="451" spans="1:6" x14ac:dyDescent="0.45">
      <c r="A451" t="s">
        <v>1132</v>
      </c>
      <c r="B451" t="str">
        <f>_xlfn.REGEXREPLACE([1]query1!B451, "https://doi.org/", "")</f>
        <v>10.1049/cds2.12001</v>
      </c>
      <c r="C451">
        <v>4</v>
      </c>
      <c r="D451" s="4" t="s">
        <v>1133</v>
      </c>
      <c r="E451" s="4" t="s">
        <v>1134</v>
      </c>
      <c r="F451" s="4">
        <v>7</v>
      </c>
    </row>
    <row r="452" spans="1:6" x14ac:dyDescent="0.45">
      <c r="A452" t="s">
        <v>1135</v>
      </c>
      <c r="B452" t="str">
        <f>_xlfn.REGEXREPLACE([1]query1!B452, "https://doi.org/", "")</f>
        <v>10.1109/lwc.2024.3432157</v>
      </c>
      <c r="C452">
        <v>4</v>
      </c>
      <c r="D452" s="4" t="s">
        <v>1136</v>
      </c>
      <c r="E452" s="4" t="s">
        <v>1137</v>
      </c>
      <c r="F452" s="4">
        <v>7</v>
      </c>
    </row>
    <row r="453" spans="1:6" x14ac:dyDescent="0.45">
      <c r="A453" t="s">
        <v>1138</v>
      </c>
      <c r="B453" t="str">
        <f>_xlfn.REGEXREPLACE([1]query1!B453, "https://doi.org/", "")</f>
        <v>10.1080/10618600.2023.2233581</v>
      </c>
      <c r="C453">
        <v>4</v>
      </c>
      <c r="D453" s="4" t="s">
        <v>1139</v>
      </c>
      <c r="E453" s="4" t="s">
        <v>1140</v>
      </c>
      <c r="F453" s="4">
        <v>7</v>
      </c>
    </row>
    <row r="454" spans="1:6" x14ac:dyDescent="0.45">
      <c r="A454" t="s">
        <v>1141</v>
      </c>
      <c r="B454" t="str">
        <f>_xlfn.REGEXREPLACE([1]query1!B454, "https://doi.org/", "")</f>
        <v>10.1093/ectj/utab025</v>
      </c>
      <c r="C454">
        <v>4</v>
      </c>
      <c r="D454" s="4" t="s">
        <v>1142</v>
      </c>
      <c r="E454" s="4" t="s">
        <v>1143</v>
      </c>
      <c r="F454" s="4">
        <v>7</v>
      </c>
    </row>
    <row r="455" spans="1:6" x14ac:dyDescent="0.45">
      <c r="A455" t="s">
        <v>1144</v>
      </c>
      <c r="B455" t="str">
        <f>_xlfn.REGEXREPLACE([1]query1!B455, "https://doi.org/", "")</f>
        <v>10.1002/sim.9433</v>
      </c>
      <c r="C455">
        <v>4</v>
      </c>
      <c r="D455" s="4" t="s">
        <v>1145</v>
      </c>
      <c r="E455" s="4" t="s">
        <v>1146</v>
      </c>
      <c r="F455" s="4">
        <v>7</v>
      </c>
    </row>
    <row r="456" spans="1:6" x14ac:dyDescent="0.45">
      <c r="A456" t="s">
        <v>1147</v>
      </c>
      <c r="B456" t="str">
        <f>_xlfn.REGEXREPLACE([1]query1!B456, "https://doi.org/", "")</f>
        <v>10.3390/qubs8020015</v>
      </c>
      <c r="C456">
        <v>4</v>
      </c>
      <c r="D456" s="4" t="s">
        <v>1148</v>
      </c>
      <c r="E456" s="4" t="s">
        <v>1149</v>
      </c>
      <c r="F456" s="4">
        <v>7</v>
      </c>
    </row>
    <row r="457" spans="1:6" x14ac:dyDescent="0.45">
      <c r="A457" t="s">
        <v>1150</v>
      </c>
      <c r="B457" t="str">
        <f>_xlfn.REGEXREPLACE([1]query1!B457, "https://doi.org/", "")</f>
        <v>10.1109/tap.2021.3076194</v>
      </c>
      <c r="C457">
        <v>4</v>
      </c>
      <c r="D457" s="4" t="s">
        <v>1151</v>
      </c>
      <c r="E457" s="4" t="s">
        <v>1152</v>
      </c>
      <c r="F457" s="4">
        <v>7</v>
      </c>
    </row>
    <row r="458" spans="1:6" x14ac:dyDescent="0.45">
      <c r="A458" t="s">
        <v>1153</v>
      </c>
      <c r="B458" t="str">
        <f>_xlfn.REGEXREPLACE([1]query1!B458, "https://doi.org/", "")</f>
        <v>10.1016/j.csda.2024.107977</v>
      </c>
      <c r="C458">
        <v>4</v>
      </c>
      <c r="D458" s="4" t="s">
        <v>978</v>
      </c>
      <c r="E458" s="4" t="s">
        <v>1154</v>
      </c>
      <c r="F458" s="4">
        <v>7</v>
      </c>
    </row>
    <row r="459" spans="1:6" x14ac:dyDescent="0.45">
      <c r="A459" t="s">
        <v>1155</v>
      </c>
      <c r="B459" t="str">
        <f>_xlfn.REGEXREPLACE([1]query1!B459, "https://doi.org/", "")</f>
        <v>10.1101/2020.02.10.942367</v>
      </c>
      <c r="C459">
        <v>4</v>
      </c>
      <c r="D459" s="4" t="s">
        <v>754</v>
      </c>
      <c r="E459" s="4" t="s">
        <v>1156</v>
      </c>
      <c r="F459" s="4">
        <v>7</v>
      </c>
    </row>
    <row r="460" spans="1:6" x14ac:dyDescent="0.45">
      <c r="A460" t="s">
        <v>1028</v>
      </c>
      <c r="B460" t="str">
        <f>_xlfn.REGEXREPLACE([1]query1!B460, "https://doi.org/", "")</f>
        <v>10.1109/twc.2024.3483658</v>
      </c>
      <c r="C460">
        <v>4</v>
      </c>
      <c r="D460" s="4" t="s">
        <v>1157</v>
      </c>
      <c r="E460" s="4" t="s">
        <v>1158</v>
      </c>
      <c r="F460" s="4">
        <v>7</v>
      </c>
    </row>
    <row r="461" spans="1:6" x14ac:dyDescent="0.45">
      <c r="A461" t="s">
        <v>1159</v>
      </c>
      <c r="B461" t="str">
        <f>_xlfn.REGEXREPLACE([1]query1!B461, "https://doi.org/", "")</f>
        <v>10.4204/eptcs.394.17</v>
      </c>
      <c r="C461">
        <v>4</v>
      </c>
      <c r="D461" s="4" t="s">
        <v>902</v>
      </c>
      <c r="E461" s="4" t="s">
        <v>1160</v>
      </c>
      <c r="F461" s="4">
        <v>7</v>
      </c>
    </row>
    <row r="462" spans="1:6" x14ac:dyDescent="0.45">
      <c r="A462" t="s">
        <v>740</v>
      </c>
      <c r="B462" t="str">
        <f>_xlfn.REGEXREPLACE([1]query1!B462, "https://doi.org/", "")</f>
        <v>10.5194/gmd-2020-176</v>
      </c>
      <c r="C462">
        <v>4</v>
      </c>
      <c r="D462" s="4" t="s">
        <v>1030</v>
      </c>
      <c r="E462" s="4" t="s">
        <v>1161</v>
      </c>
      <c r="F462" s="4">
        <v>6</v>
      </c>
    </row>
    <row r="463" spans="1:6" x14ac:dyDescent="0.45">
      <c r="A463" t="s">
        <v>1162</v>
      </c>
      <c r="B463" t="str">
        <f>_xlfn.REGEXREPLACE([1]query1!B463, "https://doi.org/", "")</f>
        <v>10.1086/728599</v>
      </c>
      <c r="C463">
        <v>4</v>
      </c>
      <c r="D463" s="4" t="s">
        <v>857</v>
      </c>
      <c r="E463" s="4" t="s">
        <v>1163</v>
      </c>
      <c r="F463" s="4">
        <v>6</v>
      </c>
    </row>
    <row r="464" spans="1:6" x14ac:dyDescent="0.45">
      <c r="A464" t="s">
        <v>1164</v>
      </c>
      <c r="B464" t="str">
        <f>_xlfn.REGEXREPLACE([1]query1!B464, "https://doi.org/", "")</f>
        <v>10.1101/2023.09.28.560053</v>
      </c>
      <c r="C464">
        <v>4</v>
      </c>
      <c r="D464" s="4" t="s">
        <v>932</v>
      </c>
      <c r="E464" s="4" t="s">
        <v>1165</v>
      </c>
      <c r="F464" s="4">
        <v>6</v>
      </c>
    </row>
    <row r="465" spans="1:6" x14ac:dyDescent="0.45">
      <c r="A465" t="s">
        <v>1166</v>
      </c>
      <c r="B465" t="str">
        <f>_xlfn.REGEXREPLACE([1]query1!B465, "https://doi.org/", "")</f>
        <v>10.34133/space.0103</v>
      </c>
      <c r="C465">
        <v>4</v>
      </c>
      <c r="D465" s="4" t="s">
        <v>1167</v>
      </c>
      <c r="E465" s="4" t="s">
        <v>1168</v>
      </c>
      <c r="F465" s="4">
        <v>6</v>
      </c>
    </row>
    <row r="466" spans="1:6" x14ac:dyDescent="0.45">
      <c r="A466" t="s">
        <v>1169</v>
      </c>
      <c r="B466" t="str">
        <f>_xlfn.REGEXREPLACE([1]query1!B466, "https://doi.org/", "")</f>
        <v>10.1002/rob.22396</v>
      </c>
      <c r="C466">
        <v>4</v>
      </c>
      <c r="D466" s="4" t="s">
        <v>1170</v>
      </c>
      <c r="E466" s="4" t="s">
        <v>1171</v>
      </c>
      <c r="F466" s="4">
        <v>6</v>
      </c>
    </row>
    <row r="467" spans="1:6" x14ac:dyDescent="0.45">
      <c r="A467" t="s">
        <v>1172</v>
      </c>
      <c r="B467" t="str">
        <f>_xlfn.REGEXREPLACE([1]query1!B467, "https://doi.org/", "")</f>
        <v>10.1139/cjfas-2023-0088</v>
      </c>
      <c r="C467">
        <v>4</v>
      </c>
      <c r="D467" s="4" t="s">
        <v>1173</v>
      </c>
      <c r="E467" s="4" t="s">
        <v>1174</v>
      </c>
      <c r="F467" s="4">
        <v>6</v>
      </c>
    </row>
    <row r="468" spans="1:6" x14ac:dyDescent="0.45">
      <c r="A468" t="s">
        <v>1175</v>
      </c>
      <c r="B468" t="str">
        <f>_xlfn.REGEXREPLACE([1]query1!B468, "https://doi.org/", "")</f>
        <v>10.1115/gt2022-82683</v>
      </c>
      <c r="C468">
        <v>4</v>
      </c>
      <c r="D468" s="4" t="s">
        <v>1176</v>
      </c>
      <c r="E468" s="4"/>
      <c r="F468" s="4">
        <v>6</v>
      </c>
    </row>
    <row r="469" spans="1:6" x14ac:dyDescent="0.45">
      <c r="A469" t="s">
        <v>1177</v>
      </c>
      <c r="B469" t="str">
        <f>_xlfn.REGEXREPLACE([1]query1!B469, "https://doi.org/", "")</f>
        <v>10.1093/sysbio/syac059</v>
      </c>
      <c r="C469">
        <v>4</v>
      </c>
      <c r="D469" s="4" t="s">
        <v>921</v>
      </c>
      <c r="E469" s="4" t="s">
        <v>1178</v>
      </c>
      <c r="F469" s="4">
        <v>6</v>
      </c>
    </row>
    <row r="470" spans="1:6" x14ac:dyDescent="0.45">
      <c r="A470" t="s">
        <v>1179</v>
      </c>
      <c r="B470" t="str">
        <f>_xlfn.REGEXREPLACE([1]query1!B470, "https://doi.org/", "")</f>
        <v>10.1109/jiot.2024.3429517</v>
      </c>
      <c r="C470">
        <v>4</v>
      </c>
      <c r="D470" s="4" t="s">
        <v>878</v>
      </c>
      <c r="E470" s="4" t="s">
        <v>1180</v>
      </c>
      <c r="F470" s="4">
        <v>6</v>
      </c>
    </row>
    <row r="471" spans="1:6" x14ac:dyDescent="0.45">
      <c r="A471" t="s">
        <v>1181</v>
      </c>
      <c r="B471" t="str">
        <f>_xlfn.REGEXREPLACE([1]query1!B471, "https://doi.org/", "")</f>
        <v>10.3390/molecules29051033</v>
      </c>
      <c r="C471">
        <v>4</v>
      </c>
      <c r="D471" s="4" t="s">
        <v>804</v>
      </c>
      <c r="E471" s="4" t="s">
        <v>1182</v>
      </c>
      <c r="F471" s="4">
        <v>6</v>
      </c>
    </row>
    <row r="472" spans="1:6" x14ac:dyDescent="0.45">
      <c r="A472" t="s">
        <v>1183</v>
      </c>
      <c r="B472" t="str">
        <f>_xlfn.REGEXREPLACE([1]query1!B472, "https://doi.org/", "")</f>
        <v>10.1016/j.ecolmodel.2021.109798</v>
      </c>
      <c r="C472">
        <v>4</v>
      </c>
      <c r="D472" s="4" t="s">
        <v>1090</v>
      </c>
      <c r="E472" s="4" t="s">
        <v>1184</v>
      </c>
      <c r="F472" s="4">
        <v>6</v>
      </c>
    </row>
    <row r="473" spans="1:6" x14ac:dyDescent="0.45">
      <c r="A473" t="s">
        <v>1185</v>
      </c>
      <c r="B473" t="str">
        <f>_xlfn.REGEXREPLACE([1]query1!B473, "https://doi.org/", "")</f>
        <v>10.1016/j.bspc.2021.103124</v>
      </c>
      <c r="C473">
        <v>4</v>
      </c>
      <c r="D473" s="4" t="s">
        <v>1186</v>
      </c>
      <c r="E473" s="4" t="s">
        <v>1187</v>
      </c>
      <c r="F473" s="4">
        <v>6</v>
      </c>
    </row>
    <row r="474" spans="1:6" x14ac:dyDescent="0.45">
      <c r="A474" t="s">
        <v>1188</v>
      </c>
      <c r="B474" t="str">
        <f>_xlfn.REGEXREPLACE([1]query1!B474, "https://doi.org/", "")</f>
        <v>10.3389/fpsyg.2022.767446</v>
      </c>
      <c r="C474">
        <v>4</v>
      </c>
      <c r="D474" s="4" t="s">
        <v>667</v>
      </c>
      <c r="E474" s="4" t="s">
        <v>1189</v>
      </c>
      <c r="F474" s="4">
        <v>6</v>
      </c>
    </row>
    <row r="475" spans="1:6" x14ac:dyDescent="0.45">
      <c r="A475" t="s">
        <v>1190</v>
      </c>
      <c r="B475" t="str">
        <f>_xlfn.REGEXREPLACE([1]query1!B475, "https://doi.org/", "")</f>
        <v>10.1039/d1cp04575j</v>
      </c>
      <c r="C475">
        <v>4</v>
      </c>
      <c r="D475" s="4" t="s">
        <v>1191</v>
      </c>
      <c r="E475" s="4" t="s">
        <v>1192</v>
      </c>
      <c r="F475" s="4">
        <v>6</v>
      </c>
    </row>
    <row r="476" spans="1:6" x14ac:dyDescent="0.45">
      <c r="A476" t="s">
        <v>1193</v>
      </c>
      <c r="B476" t="str">
        <f>_xlfn.REGEXREPLACE([1]query1!B476, "https://doi.org/", "")</f>
        <v>10.1109/jiot.2020.2986352</v>
      </c>
      <c r="C476">
        <v>4</v>
      </c>
      <c r="D476" s="4" t="s">
        <v>1194</v>
      </c>
      <c r="E476" s="4" t="s">
        <v>1195</v>
      </c>
      <c r="F476" s="4">
        <v>6</v>
      </c>
    </row>
    <row r="477" spans="1:6" x14ac:dyDescent="0.45">
      <c r="A477" t="s">
        <v>1196</v>
      </c>
      <c r="B477" t="str">
        <f>_xlfn.REGEXREPLACE([1]query1!B477, "https://doi.org/", "")</f>
        <v>10.1016/j.neunet.2024.106761</v>
      </c>
      <c r="C477">
        <v>4</v>
      </c>
      <c r="D477" s="4" t="s">
        <v>983</v>
      </c>
      <c r="E477" s="4" t="s">
        <v>1197</v>
      </c>
      <c r="F477" s="4">
        <v>6</v>
      </c>
    </row>
    <row r="478" spans="1:6" x14ac:dyDescent="0.45">
      <c r="A478" t="s">
        <v>1198</v>
      </c>
      <c r="B478" t="str">
        <f>_xlfn.REGEXREPLACE([1]query1!B478, "https://doi.org/", "")</f>
        <v>10.3389/fphar.2022.976903</v>
      </c>
      <c r="C478">
        <v>4</v>
      </c>
      <c r="D478" s="4" t="s">
        <v>1199</v>
      </c>
      <c r="E478" s="4" t="s">
        <v>1200</v>
      </c>
      <c r="F478" s="4">
        <v>6</v>
      </c>
    </row>
    <row r="479" spans="1:6" x14ac:dyDescent="0.45">
      <c r="A479" t="s">
        <v>1201</v>
      </c>
      <c r="B479" t="str">
        <f>_xlfn.REGEXREPLACE([1]query1!B479, "https://doi.org/", "")</f>
        <v>10.1145/3663548.3675614</v>
      </c>
      <c r="C479">
        <v>3</v>
      </c>
      <c r="D479" s="4" t="s">
        <v>1202</v>
      </c>
      <c r="E479" s="4" t="s">
        <v>1203</v>
      </c>
      <c r="F479" s="4">
        <v>6</v>
      </c>
    </row>
    <row r="480" spans="1:6" x14ac:dyDescent="0.45">
      <c r="A480" t="s">
        <v>1204</v>
      </c>
      <c r="B480" t="str">
        <f>_xlfn.REGEXREPLACE([1]query1!B480, "https://doi.org/", "")</f>
        <v>10.1007/978-3-030-67973-6_6</v>
      </c>
      <c r="C480">
        <v>3</v>
      </c>
      <c r="D480" s="4" t="s">
        <v>1205</v>
      </c>
      <c r="E480" s="4" t="s">
        <v>1206</v>
      </c>
      <c r="F480" s="4">
        <v>6</v>
      </c>
    </row>
    <row r="481" spans="1:6" x14ac:dyDescent="0.45">
      <c r="A481" t="s">
        <v>1207</v>
      </c>
      <c r="B481" t="str">
        <f>_xlfn.REGEXREPLACE([1]query1!B481, "https://doi.org/", "")</f>
        <v>10.1109/lgrs.2021.3084932</v>
      </c>
      <c r="C481">
        <v>3</v>
      </c>
      <c r="D481" s="4" t="s">
        <v>1208</v>
      </c>
      <c r="E481" s="4" t="s">
        <v>1209</v>
      </c>
      <c r="F481" s="4">
        <v>6</v>
      </c>
    </row>
    <row r="482" spans="1:6" x14ac:dyDescent="0.45">
      <c r="A482" t="s">
        <v>1210</v>
      </c>
      <c r="B482" t="str">
        <f>_xlfn.REGEXREPLACE([1]query1!B482, "https://doi.org/", "")</f>
        <v>10.48550/arxiv.2103.07013</v>
      </c>
      <c r="C482">
        <v>3</v>
      </c>
      <c r="D482" s="4" t="s">
        <v>1211</v>
      </c>
      <c r="E482" s="4" t="s">
        <v>1212</v>
      </c>
      <c r="F482" s="4">
        <v>6</v>
      </c>
    </row>
    <row r="483" spans="1:6" x14ac:dyDescent="0.45">
      <c r="A483" t="s">
        <v>1213</v>
      </c>
      <c r="B483" t="str">
        <f>_xlfn.REGEXREPLACE([1]query1!B483, "https://doi.org/", "")</f>
        <v>10.1016/j.chiabu.2023.106578</v>
      </c>
      <c r="C483">
        <v>3</v>
      </c>
      <c r="D483" s="4" t="s">
        <v>872</v>
      </c>
      <c r="E483" s="4" t="s">
        <v>1214</v>
      </c>
      <c r="F483" s="4">
        <v>6</v>
      </c>
    </row>
    <row r="484" spans="1:6" x14ac:dyDescent="0.45">
      <c r="A484" t="s">
        <v>1215</v>
      </c>
      <c r="B484" t="str">
        <f>_xlfn.REGEXREPLACE([1]query1!B484, "https://doi.org/", "")</f>
        <v>10.48550/arxiv.2202.02923</v>
      </c>
      <c r="C484">
        <v>3</v>
      </c>
      <c r="D484" s="4" t="s">
        <v>993</v>
      </c>
      <c r="E484" s="4" t="s">
        <v>1216</v>
      </c>
      <c r="F484" s="4">
        <v>6</v>
      </c>
    </row>
    <row r="485" spans="1:6" x14ac:dyDescent="0.45">
      <c r="A485" t="s">
        <v>1217</v>
      </c>
      <c r="B485" t="str">
        <f>_xlfn.REGEXREPLACE([1]query1!B485, "https://doi.org/", "")</f>
        <v>10.1109/iemcon51383.2020.9284852</v>
      </c>
      <c r="C485">
        <v>3</v>
      </c>
      <c r="D485" s="4" t="s">
        <v>1008</v>
      </c>
      <c r="E485" s="4" t="s">
        <v>1218</v>
      </c>
      <c r="F485" s="4">
        <v>6</v>
      </c>
    </row>
    <row r="486" spans="1:6" x14ac:dyDescent="0.45">
      <c r="A486" t="s">
        <v>1219</v>
      </c>
      <c r="B486" t="str">
        <f>_xlfn.REGEXREPLACE([1]query1!B486, "https://doi.org/", "")</f>
        <v>10.31223/x57p8h</v>
      </c>
      <c r="C486">
        <v>3</v>
      </c>
      <c r="D486" s="4" t="s">
        <v>1220</v>
      </c>
      <c r="E486" s="4" t="s">
        <v>1221</v>
      </c>
      <c r="F486" s="4">
        <v>6</v>
      </c>
    </row>
    <row r="487" spans="1:6" x14ac:dyDescent="0.45">
      <c r="A487" t="s">
        <v>1222</v>
      </c>
      <c r="B487" t="str">
        <f>_xlfn.REGEXREPLACE([1]query1!B487, "https://doi.org/", "")</f>
        <v>10.1007/s11251-022-09614-4</v>
      </c>
      <c r="C487">
        <v>3</v>
      </c>
      <c r="D487" s="4" t="s">
        <v>1223</v>
      </c>
      <c r="E487" s="4" t="s">
        <v>1224</v>
      </c>
      <c r="F487" s="4">
        <v>6</v>
      </c>
    </row>
    <row r="488" spans="1:6" x14ac:dyDescent="0.45">
      <c r="A488" t="s">
        <v>1225</v>
      </c>
      <c r="B488" t="str">
        <f>_xlfn.REGEXREPLACE([1]query1!B488, "https://doi.org/", "")</f>
        <v>10.5194/egusphere-egu21-16591</v>
      </c>
      <c r="C488">
        <v>3</v>
      </c>
      <c r="D488" s="4" t="s">
        <v>1226</v>
      </c>
      <c r="E488" s="4"/>
      <c r="F488" s="4">
        <v>6</v>
      </c>
    </row>
    <row r="489" spans="1:6" x14ac:dyDescent="0.45">
      <c r="A489" t="s">
        <v>1227</v>
      </c>
      <c r="B489" t="str">
        <f>_xlfn.REGEXREPLACE([1]query1!B489, "https://doi.org/", "")</f>
        <v>10.1177/09544119231207653</v>
      </c>
      <c r="C489">
        <v>3</v>
      </c>
      <c r="D489" s="4" t="s">
        <v>956</v>
      </c>
      <c r="E489" s="4" t="s">
        <v>1228</v>
      </c>
      <c r="F489" s="4">
        <v>6</v>
      </c>
    </row>
    <row r="490" spans="1:6" x14ac:dyDescent="0.45">
      <c r="A490" t="s">
        <v>1229</v>
      </c>
      <c r="B490" t="str">
        <f>_xlfn.REGEXREPLACE([1]query1!B490, "https://doi.org/", "")</f>
        <v>10.1080/14763141.2021.1951828</v>
      </c>
      <c r="C490">
        <v>3</v>
      </c>
      <c r="D490" s="4" t="s">
        <v>1230</v>
      </c>
      <c r="E490" s="4" t="s">
        <v>1231</v>
      </c>
      <c r="F490" s="4">
        <v>6</v>
      </c>
    </row>
    <row r="491" spans="1:6" x14ac:dyDescent="0.45">
      <c r="A491" t="s">
        <v>1232</v>
      </c>
      <c r="B491" t="str">
        <f>_xlfn.REGEXREPLACE([1]query1!B491, "https://doi.org/", "")</f>
        <v>10.1371/journal.pone.0257005</v>
      </c>
      <c r="C491">
        <v>3</v>
      </c>
      <c r="D491" s="4" t="s">
        <v>1233</v>
      </c>
      <c r="E491" s="4" t="s">
        <v>1234</v>
      </c>
      <c r="F491" s="4">
        <v>6</v>
      </c>
    </row>
    <row r="492" spans="1:6" x14ac:dyDescent="0.45">
      <c r="A492" t="s">
        <v>1235</v>
      </c>
      <c r="B492" t="str">
        <f>_xlfn.REGEXREPLACE([1]query1!B492, "https://doi.org/", "")</f>
        <v>10.3390/rs13224671</v>
      </c>
      <c r="C492">
        <v>3</v>
      </c>
      <c r="D492" s="4" t="s">
        <v>1236</v>
      </c>
      <c r="E492" s="4" t="s">
        <v>1237</v>
      </c>
      <c r="F492" s="4">
        <v>6</v>
      </c>
    </row>
    <row r="493" spans="1:6" x14ac:dyDescent="0.45">
      <c r="A493" t="s">
        <v>1238</v>
      </c>
      <c r="B493" t="str">
        <f>_xlfn.REGEXREPLACE([1]query1!B493, "https://doi.org/", "")</f>
        <v>10.1002/adma.202170148</v>
      </c>
      <c r="C493">
        <v>3</v>
      </c>
      <c r="D493" s="4" t="s">
        <v>1239</v>
      </c>
      <c r="E493" s="4" t="s">
        <v>1240</v>
      </c>
      <c r="F493" s="4">
        <v>6</v>
      </c>
    </row>
    <row r="494" spans="1:6" x14ac:dyDescent="0.45">
      <c r="A494" t="s">
        <v>1241</v>
      </c>
      <c r="B494" t="str">
        <f>_xlfn.REGEXREPLACE([1]query1!B494, "https://doi.org/", "")</f>
        <v>10.1109/isbi48211.2021.9433782</v>
      </c>
      <c r="C494">
        <v>3</v>
      </c>
      <c r="D494" s="4" t="s">
        <v>784</v>
      </c>
      <c r="E494" s="4" t="s">
        <v>1242</v>
      </c>
      <c r="F494" s="4">
        <v>6</v>
      </c>
    </row>
    <row r="495" spans="1:6" x14ac:dyDescent="0.45">
      <c r="A495" t="s">
        <v>1243</v>
      </c>
      <c r="B495" t="str">
        <f>_xlfn.REGEXREPLACE([1]query1!B495, "https://doi.org/", "")</f>
        <v>10.3390/s24092796</v>
      </c>
      <c r="C495">
        <v>3</v>
      </c>
      <c r="D495" s="4" t="s">
        <v>1244</v>
      </c>
      <c r="E495" s="4" t="s">
        <v>1245</v>
      </c>
      <c r="F495" s="4">
        <v>6</v>
      </c>
    </row>
    <row r="496" spans="1:6" x14ac:dyDescent="0.45">
      <c r="A496" t="s">
        <v>1246</v>
      </c>
      <c r="B496" t="str">
        <f>_xlfn.REGEXREPLACE([1]query1!B496, "https://doi.org/", "")</f>
        <v>10.1145/3458305.3459594</v>
      </c>
      <c r="C496">
        <v>3</v>
      </c>
      <c r="D496" s="4" t="s">
        <v>1247</v>
      </c>
      <c r="E496" s="4" t="s">
        <v>1248</v>
      </c>
      <c r="F496" s="4">
        <v>6</v>
      </c>
    </row>
    <row r="497" spans="1:6" x14ac:dyDescent="0.45">
      <c r="A497" t="s">
        <v>1249</v>
      </c>
      <c r="B497" t="str">
        <f>_xlfn.REGEXREPLACE([1]query1!B497, "https://doi.org/", "")</f>
        <v>10.1016/j.rsase.2024.101390</v>
      </c>
      <c r="C497">
        <v>3</v>
      </c>
      <c r="D497" s="4" t="s">
        <v>1075</v>
      </c>
      <c r="E497" s="4" t="s">
        <v>1250</v>
      </c>
      <c r="F497" s="4">
        <v>6</v>
      </c>
    </row>
    <row r="498" spans="1:6" x14ac:dyDescent="0.45">
      <c r="A498" t="s">
        <v>1251</v>
      </c>
      <c r="B498" t="str">
        <f>_xlfn.REGEXREPLACE([1]query1!B498, "https://doi.org/", "")</f>
        <v>10.1109/whispers65427.2024.10876533</v>
      </c>
      <c r="C498">
        <v>3</v>
      </c>
      <c r="D498" s="4" t="s">
        <v>719</v>
      </c>
      <c r="E498" s="4" t="s">
        <v>1252</v>
      </c>
      <c r="F498" s="4">
        <v>6</v>
      </c>
    </row>
    <row r="499" spans="1:6" x14ac:dyDescent="0.45">
      <c r="A499" t="s">
        <v>1253</v>
      </c>
      <c r="B499" t="str">
        <f>_xlfn.REGEXREPLACE([1]query1!B499, "https://doi.org/", "")</f>
        <v>10.35467/sdq/190799</v>
      </c>
      <c r="C499">
        <v>3</v>
      </c>
      <c r="D499" s="4" t="s">
        <v>896</v>
      </c>
      <c r="E499" s="4" t="s">
        <v>1254</v>
      </c>
      <c r="F499" s="4">
        <v>6</v>
      </c>
    </row>
    <row r="500" spans="1:6" x14ac:dyDescent="0.45">
      <c r="A500" t="s">
        <v>1255</v>
      </c>
      <c r="B500" t="str">
        <f>_xlfn.REGEXREPLACE([1]query1!B500, "https://doi.org/", "")</f>
        <v>10.5194/egusphere-2024-1031</v>
      </c>
      <c r="C500">
        <v>3</v>
      </c>
      <c r="D500" s="4" t="s">
        <v>1256</v>
      </c>
      <c r="E500" s="4" t="s">
        <v>1257</v>
      </c>
      <c r="F500" s="4">
        <v>6</v>
      </c>
    </row>
    <row r="501" spans="1:6" x14ac:dyDescent="0.45">
      <c r="A501" t="s">
        <v>1258</v>
      </c>
      <c r="B501" t="str">
        <f>_xlfn.REGEXREPLACE([1]query1!B501, "https://doi.org/", "")</f>
        <v>10.48550/arxiv.2312.03179</v>
      </c>
      <c r="C501">
        <v>3</v>
      </c>
      <c r="D501" s="4" t="s">
        <v>927</v>
      </c>
      <c r="E501" s="4" t="s">
        <v>1259</v>
      </c>
      <c r="F501" s="4">
        <v>6</v>
      </c>
    </row>
    <row r="502" spans="1:6" x14ac:dyDescent="0.45">
      <c r="A502" t="s">
        <v>1260</v>
      </c>
      <c r="B502" t="str">
        <f>_xlfn.REGEXREPLACE([1]query1!B502, "https://doi.org/", "")</f>
        <v>10.1113/jp279699</v>
      </c>
      <c r="C502">
        <v>3</v>
      </c>
      <c r="D502" s="4" t="s">
        <v>905</v>
      </c>
      <c r="E502" s="4" t="s">
        <v>1261</v>
      </c>
      <c r="F502" s="4">
        <v>6</v>
      </c>
    </row>
    <row r="503" spans="1:6" x14ac:dyDescent="0.45">
      <c r="A503" t="s">
        <v>1262</v>
      </c>
      <c r="B503" t="str">
        <f>_xlfn.REGEXREPLACE([1]query1!B503, "https://doi.org/", "")</f>
        <v>10.1103/physrevb.101.235442</v>
      </c>
      <c r="C503">
        <v>3</v>
      </c>
      <c r="D503" s="4" t="s">
        <v>908</v>
      </c>
      <c r="E503" s="4" t="s">
        <v>1263</v>
      </c>
      <c r="F503" s="4">
        <v>6</v>
      </c>
    </row>
    <row r="504" spans="1:6" x14ac:dyDescent="0.45">
      <c r="A504" t="s">
        <v>1264</v>
      </c>
      <c r="B504" t="str">
        <f>_xlfn.REGEXREPLACE([1]query1!B504, "https://doi.org/", "")</f>
        <v>10.1103/physrevb.109.224421</v>
      </c>
      <c r="C504">
        <v>3</v>
      </c>
      <c r="D504" s="4" t="s">
        <v>1265</v>
      </c>
      <c r="E504" s="4" t="s">
        <v>1266</v>
      </c>
      <c r="F504" s="4">
        <v>6</v>
      </c>
    </row>
    <row r="505" spans="1:6" x14ac:dyDescent="0.45">
      <c r="A505" t="s">
        <v>1267</v>
      </c>
      <c r="B505" t="str">
        <f>_xlfn.REGEXREPLACE([1]query1!B505, "https://doi.org/", "")</f>
        <v>10.1021/acs.jpcb.2c01632</v>
      </c>
      <c r="C505">
        <v>3</v>
      </c>
      <c r="D505" s="4" t="s">
        <v>1268</v>
      </c>
      <c r="E505" s="4" t="s">
        <v>1269</v>
      </c>
      <c r="F505" s="4">
        <v>6</v>
      </c>
    </row>
    <row r="506" spans="1:6" x14ac:dyDescent="0.45">
      <c r="A506" t="s">
        <v>1270</v>
      </c>
      <c r="B506" t="str">
        <f>_xlfn.REGEXREPLACE([1]query1!B506, "https://doi.org/", "")</f>
        <v>10.21105/joss.06537</v>
      </c>
      <c r="C506">
        <v>3</v>
      </c>
      <c r="D506" s="4" t="s">
        <v>793</v>
      </c>
      <c r="E506" s="4" t="s">
        <v>1271</v>
      </c>
      <c r="F506" s="4">
        <v>5</v>
      </c>
    </row>
    <row r="507" spans="1:6" x14ac:dyDescent="0.45">
      <c r="A507" t="s">
        <v>1272</v>
      </c>
      <c r="B507" t="str">
        <f>_xlfn.REGEXREPLACE([1]query1!B507, "https://doi.org/", "")</f>
        <v>10.3390/e22030312</v>
      </c>
      <c r="C507">
        <v>3</v>
      </c>
      <c r="D507" s="4" t="s">
        <v>1273</v>
      </c>
      <c r="E507" s="4" t="s">
        <v>1274</v>
      </c>
      <c r="F507" s="4">
        <v>5</v>
      </c>
    </row>
    <row r="508" spans="1:6" x14ac:dyDescent="0.45">
      <c r="A508" t="s">
        <v>1275</v>
      </c>
      <c r="B508" t="str">
        <f>_xlfn.REGEXREPLACE([1]query1!B508, "https://doi.org/", "")</f>
        <v>10.1109/ieeeconf35879.2020.9330310</v>
      </c>
      <c r="C508">
        <v>3</v>
      </c>
      <c r="D508" s="4" t="s">
        <v>942</v>
      </c>
      <c r="E508" s="4" t="s">
        <v>1276</v>
      </c>
      <c r="F508" s="4">
        <v>5</v>
      </c>
    </row>
    <row r="509" spans="1:6" x14ac:dyDescent="0.45">
      <c r="A509" t="s">
        <v>1277</v>
      </c>
      <c r="B509" t="str">
        <f>_xlfn.REGEXREPLACE([1]query1!B509, "https://doi.org/", "")</f>
        <v>10.1007/978-3-031-05936-0_21</v>
      </c>
      <c r="C509">
        <v>3</v>
      </c>
      <c r="D509" s="4" t="s">
        <v>1278</v>
      </c>
      <c r="E509" s="4" t="s">
        <v>1279</v>
      </c>
      <c r="F509" s="4">
        <v>5</v>
      </c>
    </row>
    <row r="510" spans="1:6" x14ac:dyDescent="0.45">
      <c r="A510" t="s">
        <v>1280</v>
      </c>
      <c r="B510" t="str">
        <f>_xlfn.REGEXREPLACE([1]query1!B510, "https://doi.org/", "")</f>
        <v>10.1103/physrevb.106.085123</v>
      </c>
      <c r="C510">
        <v>3</v>
      </c>
      <c r="D510" s="4" t="s">
        <v>1114</v>
      </c>
      <c r="E510" s="4" t="s">
        <v>1281</v>
      </c>
      <c r="F510" s="4">
        <v>5</v>
      </c>
    </row>
    <row r="511" spans="1:6" x14ac:dyDescent="0.45">
      <c r="A511" t="s">
        <v>1282</v>
      </c>
      <c r="B511" t="str">
        <f>_xlfn.REGEXREPLACE([1]query1!B511, "https://doi.org/", "")</f>
        <v>10.23919/iccas52745.2021.9649799</v>
      </c>
      <c r="C511">
        <v>3</v>
      </c>
      <c r="D511" s="4" t="s">
        <v>1088</v>
      </c>
      <c r="E511" s="4" t="s">
        <v>1283</v>
      </c>
      <c r="F511" s="4">
        <v>5</v>
      </c>
    </row>
    <row r="512" spans="1:6" x14ac:dyDescent="0.45">
      <c r="A512" t="s">
        <v>1284</v>
      </c>
      <c r="B512" t="str">
        <f>_xlfn.REGEXREPLACE([1]query1!B512, "https://doi.org/", "")</f>
        <v>10.1017/psrm.2022.51</v>
      </c>
      <c r="C512">
        <v>3</v>
      </c>
      <c r="D512" s="4" t="s">
        <v>1285</v>
      </c>
      <c r="E512" s="4" t="s">
        <v>1286</v>
      </c>
      <c r="F512" s="4">
        <v>5</v>
      </c>
    </row>
    <row r="513" spans="1:6" x14ac:dyDescent="0.45">
      <c r="A513" t="s">
        <v>1287</v>
      </c>
      <c r="B513" t="str">
        <f>_xlfn.REGEXREPLACE([1]query1!B513, "https://doi.org/", "")</f>
        <v>10.1109/iecon43393.2020.9254418</v>
      </c>
      <c r="C513">
        <v>3</v>
      </c>
      <c r="D513" s="4" t="s">
        <v>1288</v>
      </c>
      <c r="E513" s="4" t="s">
        <v>1289</v>
      </c>
      <c r="F513" s="4">
        <v>5</v>
      </c>
    </row>
    <row r="514" spans="1:6" x14ac:dyDescent="0.45">
      <c r="A514" t="s">
        <v>1290</v>
      </c>
      <c r="B514" t="str">
        <f>_xlfn.REGEXREPLACE([1]query1!B514, "https://doi.org/", "")</f>
        <v>10.1111/evo.14625</v>
      </c>
      <c r="C514">
        <v>3</v>
      </c>
      <c r="D514" s="4" t="s">
        <v>1291</v>
      </c>
      <c r="E514" s="4" t="s">
        <v>1292</v>
      </c>
      <c r="F514" s="4">
        <v>5</v>
      </c>
    </row>
    <row r="515" spans="1:6" x14ac:dyDescent="0.45">
      <c r="A515" t="s">
        <v>1293</v>
      </c>
      <c r="B515" t="str">
        <f>_xlfn.REGEXREPLACE([1]query1!B515, "https://doi.org/", "")</f>
        <v>10.1109/jsyst.2020.3010791</v>
      </c>
      <c r="C515">
        <v>3</v>
      </c>
      <c r="D515" s="4" t="s">
        <v>831</v>
      </c>
      <c r="E515" s="4" t="s">
        <v>1294</v>
      </c>
      <c r="F515" s="4">
        <v>5</v>
      </c>
    </row>
    <row r="516" spans="1:6" x14ac:dyDescent="0.45">
      <c r="A516" t="s">
        <v>1295</v>
      </c>
      <c r="B516" t="str">
        <f>_xlfn.REGEXREPLACE([1]query1!B516, "https://doi.org/", "")</f>
        <v>10.1109/syscon61195.2024.10553419</v>
      </c>
      <c r="C516">
        <v>3</v>
      </c>
      <c r="D516" s="4" t="s">
        <v>972</v>
      </c>
      <c r="E516" s="4" t="s">
        <v>1296</v>
      </c>
      <c r="F516" s="4">
        <v>5</v>
      </c>
    </row>
    <row r="517" spans="1:6" x14ac:dyDescent="0.45">
      <c r="A517" t="s">
        <v>1297</v>
      </c>
      <c r="B517" t="str">
        <f>_xlfn.REGEXREPLACE([1]query1!B517, "https://doi.org/", "")</f>
        <v>10.1103/physrevb.104.155406</v>
      </c>
      <c r="C517">
        <v>3</v>
      </c>
      <c r="D517" s="4" t="s">
        <v>1179</v>
      </c>
      <c r="E517" s="4" t="s">
        <v>1298</v>
      </c>
      <c r="F517" s="4">
        <v>5</v>
      </c>
    </row>
    <row r="518" spans="1:6" x14ac:dyDescent="0.45">
      <c r="A518" t="s">
        <v>1299</v>
      </c>
      <c r="B518" t="str">
        <f>_xlfn.REGEXREPLACE([1]query1!B518, "https://doi.org/", "")</f>
        <v>10.1039/d3nr02742b</v>
      </c>
      <c r="C518">
        <v>3</v>
      </c>
      <c r="D518" s="4" t="s">
        <v>1166</v>
      </c>
      <c r="E518" s="4" t="s">
        <v>1300</v>
      </c>
      <c r="F518" s="4">
        <v>5</v>
      </c>
    </row>
    <row r="519" spans="1:6" x14ac:dyDescent="0.45">
      <c r="A519" t="s">
        <v>1301</v>
      </c>
      <c r="B519" t="str">
        <f>_xlfn.REGEXREPLACE([1]query1!B519, "https://doi.org/", "")</f>
        <v>10.1111/rssc.12572</v>
      </c>
      <c r="C519">
        <v>3</v>
      </c>
      <c r="D519" s="4" t="s">
        <v>900</v>
      </c>
      <c r="E519" s="4" t="s">
        <v>1302</v>
      </c>
      <c r="F519" s="4">
        <v>5</v>
      </c>
    </row>
    <row r="520" spans="1:6" x14ac:dyDescent="0.45">
      <c r="A520" t="s">
        <v>1303</v>
      </c>
      <c r="B520" t="str">
        <f>_xlfn.REGEXREPLACE([1]query1!B520, "https://doi.org/", "")</f>
        <v>10.1103/physreve.101.042603</v>
      </c>
      <c r="C520">
        <v>3</v>
      </c>
      <c r="D520" s="4" t="s">
        <v>1078</v>
      </c>
      <c r="E520" s="4" t="s">
        <v>1304</v>
      </c>
      <c r="F520" s="4">
        <v>5</v>
      </c>
    </row>
    <row r="521" spans="1:6" x14ac:dyDescent="0.45">
      <c r="A521" t="s">
        <v>1305</v>
      </c>
      <c r="B521" t="str">
        <f>_xlfn.REGEXREPLACE([1]query1!B521, "https://doi.org/", "")</f>
        <v>10.1109/ojcoms.2021.3129218</v>
      </c>
      <c r="C521">
        <v>3</v>
      </c>
      <c r="D521" s="4" t="s">
        <v>1306</v>
      </c>
      <c r="E521" s="4" t="s">
        <v>1307</v>
      </c>
      <c r="F521" s="4">
        <v>5</v>
      </c>
    </row>
    <row r="522" spans="1:6" x14ac:dyDescent="0.45">
      <c r="A522" t="s">
        <v>1308</v>
      </c>
      <c r="B522" t="str">
        <f>_xlfn.REGEXREPLACE([1]query1!B522, "https://doi.org/", "")</f>
        <v>10.1109/dsd57027.2022.00017</v>
      </c>
      <c r="C522">
        <v>3</v>
      </c>
      <c r="D522" s="4" t="s">
        <v>1309</v>
      </c>
      <c r="E522" s="4" t="s">
        <v>1310</v>
      </c>
      <c r="F522" s="4">
        <v>5</v>
      </c>
    </row>
    <row r="523" spans="1:6" x14ac:dyDescent="0.45">
      <c r="A523" t="s">
        <v>1311</v>
      </c>
      <c r="B523" t="str">
        <f>_xlfn.REGEXREPLACE([1]query1!B523, "https://doi.org/", "")</f>
        <v>10.1145/3550296</v>
      </c>
      <c r="C523">
        <v>3</v>
      </c>
      <c r="D523" s="4" t="s">
        <v>965</v>
      </c>
      <c r="E523" s="4" t="s">
        <v>1312</v>
      </c>
      <c r="F523" s="4">
        <v>5</v>
      </c>
    </row>
    <row r="524" spans="1:6" x14ac:dyDescent="0.45">
      <c r="A524" t="s">
        <v>1313</v>
      </c>
      <c r="B524" t="str">
        <f>_xlfn.REGEXREPLACE([1]query1!B524, "https://doi.org/", "")</f>
        <v>10.2514/1.j060718</v>
      </c>
      <c r="C524">
        <v>3</v>
      </c>
      <c r="D524" s="4" t="s">
        <v>1314</v>
      </c>
      <c r="E524" s="4" t="s">
        <v>1315</v>
      </c>
      <c r="F524" s="4">
        <v>5</v>
      </c>
    </row>
    <row r="525" spans="1:6" x14ac:dyDescent="0.45">
      <c r="A525" t="s">
        <v>525</v>
      </c>
      <c r="B525" t="str">
        <f>_xlfn.REGEXREPLACE([1]query1!B525, "https://doi.org/", "")</f>
        <v>10.21203/rs.3.rs-1146923/v2</v>
      </c>
      <c r="C525">
        <v>3</v>
      </c>
      <c r="D525" s="4" t="s">
        <v>1316</v>
      </c>
      <c r="E525" s="4" t="s">
        <v>1317</v>
      </c>
      <c r="F525" s="4">
        <v>5</v>
      </c>
    </row>
    <row r="526" spans="1:6" x14ac:dyDescent="0.45">
      <c r="A526" t="s">
        <v>1318</v>
      </c>
      <c r="B526" t="str">
        <f>_xlfn.REGEXREPLACE([1]query1!B526, "https://doi.org/", "")</f>
        <v>10.1139/cjfas-2020-0096</v>
      </c>
      <c r="C526">
        <v>3</v>
      </c>
      <c r="D526" s="4" t="s">
        <v>1027</v>
      </c>
      <c r="E526" s="4" t="s">
        <v>1319</v>
      </c>
      <c r="F526" s="4">
        <v>5</v>
      </c>
    </row>
    <row r="527" spans="1:6" x14ac:dyDescent="0.45">
      <c r="A527" t="s">
        <v>1320</v>
      </c>
      <c r="B527" t="str">
        <f>_xlfn.REGEXREPLACE([1]query1!B527, "https://doi.org/", "")</f>
        <v>10.1109/iros58592.2024.10802731</v>
      </c>
      <c r="C527">
        <v>3</v>
      </c>
      <c r="D527" s="4" t="s">
        <v>1321</v>
      </c>
      <c r="E527" s="4" t="s">
        <v>1322</v>
      </c>
      <c r="F527" s="4">
        <v>5</v>
      </c>
    </row>
    <row r="528" spans="1:6" x14ac:dyDescent="0.45">
      <c r="A528" t="s">
        <v>1323</v>
      </c>
      <c r="B528" t="str">
        <f>_xlfn.REGEXREPLACE([1]query1!B528, "https://doi.org/", "")</f>
        <v>10.1080/10618600.2024.2335182</v>
      </c>
      <c r="C528">
        <v>3</v>
      </c>
      <c r="D528" s="4" t="s">
        <v>960</v>
      </c>
      <c r="E528" s="4" t="s">
        <v>1324</v>
      </c>
      <c r="F528" s="4">
        <v>5</v>
      </c>
    </row>
    <row r="529" spans="1:6" x14ac:dyDescent="0.45">
      <c r="A529" t="s">
        <v>1325</v>
      </c>
      <c r="B529" t="str">
        <f>_xlfn.REGEXREPLACE([1]query1!B529, "https://doi.org/", "")</f>
        <v>10.1002/cjs.11747</v>
      </c>
      <c r="C529">
        <v>3</v>
      </c>
      <c r="D529" s="4" t="s">
        <v>1045</v>
      </c>
      <c r="E529" s="4" t="s">
        <v>1326</v>
      </c>
      <c r="F529" s="4">
        <v>5</v>
      </c>
    </row>
    <row r="530" spans="1:6" x14ac:dyDescent="0.45">
      <c r="A530" t="s">
        <v>1327</v>
      </c>
      <c r="B530" t="str">
        <f>_xlfn.REGEXREPLACE([1]query1!B530, "https://doi.org/", "")</f>
        <v>10.1016/j.csda.2022.107483</v>
      </c>
      <c r="C530">
        <v>3</v>
      </c>
      <c r="D530" s="4" t="s">
        <v>1328</v>
      </c>
      <c r="E530" s="4" t="s">
        <v>1329</v>
      </c>
      <c r="F530" s="4">
        <v>5</v>
      </c>
    </row>
    <row r="531" spans="1:6" x14ac:dyDescent="0.45">
      <c r="A531" t="s">
        <v>1330</v>
      </c>
      <c r="B531" t="str">
        <f>_xlfn.REGEXREPLACE([1]query1!B531, "https://doi.org/", "")</f>
        <v>10.1093/mnras/stae2243</v>
      </c>
      <c r="C531">
        <v>3</v>
      </c>
      <c r="D531" s="4" t="s">
        <v>975</v>
      </c>
      <c r="E531" s="4" t="s">
        <v>1331</v>
      </c>
      <c r="F531" s="4">
        <v>5</v>
      </c>
    </row>
    <row r="532" spans="1:6" x14ac:dyDescent="0.45">
      <c r="A532" t="s">
        <v>1332</v>
      </c>
      <c r="B532" t="str">
        <f>_xlfn.REGEXREPLACE([1]query1!B532, "https://doi.org/", "")</f>
        <v>10.1007/s11222-023-10342-z</v>
      </c>
      <c r="C532">
        <v>3</v>
      </c>
      <c r="D532" s="4" t="s">
        <v>1333</v>
      </c>
      <c r="E532" s="4" t="s">
        <v>1334</v>
      </c>
      <c r="F532" s="4">
        <v>5</v>
      </c>
    </row>
    <row r="533" spans="1:6" x14ac:dyDescent="0.45">
      <c r="A533" t="s">
        <v>1335</v>
      </c>
      <c r="B533" t="str">
        <f>_xlfn.REGEXREPLACE([1]query1!B533, "https://doi.org/", "")</f>
        <v>10.1002/bimj.202300398</v>
      </c>
      <c r="C533">
        <v>3</v>
      </c>
      <c r="D533" s="4" t="s">
        <v>883</v>
      </c>
      <c r="E533" s="4" t="s">
        <v>1336</v>
      </c>
      <c r="F533" s="4">
        <v>5</v>
      </c>
    </row>
    <row r="534" spans="1:6" x14ac:dyDescent="0.45">
      <c r="A534" t="s">
        <v>1337</v>
      </c>
      <c r="B534" t="str">
        <f>_xlfn.REGEXREPLACE([1]query1!B534, "https://doi.org/", "")</f>
        <v>10.1115/es2024-124369</v>
      </c>
      <c r="C534">
        <v>3</v>
      </c>
      <c r="D534" s="4" t="s">
        <v>1338</v>
      </c>
      <c r="E534" s="4" t="s">
        <v>1339</v>
      </c>
      <c r="F534" s="4">
        <v>5</v>
      </c>
    </row>
    <row r="535" spans="1:6" x14ac:dyDescent="0.45">
      <c r="A535" t="s">
        <v>1340</v>
      </c>
      <c r="B535" t="str">
        <f>_xlfn.REGEXREPLACE([1]query1!B535, "https://doi.org/", "")</f>
        <v>10.21203/rs.3.rs-779080/v1</v>
      </c>
      <c r="C535">
        <v>3</v>
      </c>
      <c r="D535" s="4" t="s">
        <v>1000</v>
      </c>
      <c r="E535" s="4" t="s">
        <v>1341</v>
      </c>
      <c r="F535" s="4">
        <v>5</v>
      </c>
    </row>
    <row r="536" spans="1:6" x14ac:dyDescent="0.45">
      <c r="A536" t="s">
        <v>1342</v>
      </c>
      <c r="B536" t="str">
        <f>_xlfn.REGEXREPLACE([1]query1!B536, "https://doi.org/", "")</f>
        <v>10.1101/2024.07.11.603095</v>
      </c>
      <c r="C536">
        <v>3</v>
      </c>
      <c r="D536" s="4" t="s">
        <v>774</v>
      </c>
      <c r="E536" s="4" t="s">
        <v>1343</v>
      </c>
      <c r="F536" s="4">
        <v>5</v>
      </c>
    </row>
    <row r="537" spans="1:6" x14ac:dyDescent="0.45">
      <c r="A537" t="s">
        <v>1344</v>
      </c>
      <c r="B537" t="str">
        <f>_xlfn.REGEXREPLACE([1]query1!B537, "https://doi.org/", "")</f>
        <v>10.1109/fpl64840.2024.00018</v>
      </c>
      <c r="C537">
        <v>3</v>
      </c>
      <c r="D537" s="4" t="s">
        <v>1345</v>
      </c>
      <c r="E537" s="4" t="s">
        <v>1346</v>
      </c>
      <c r="F537" s="4">
        <v>5</v>
      </c>
    </row>
    <row r="538" spans="1:6" x14ac:dyDescent="0.45">
      <c r="A538" t="s">
        <v>1347</v>
      </c>
      <c r="B538" t="str">
        <f>_xlfn.REGEXREPLACE([1]query1!B538, "https://doi.org/", "")</f>
        <v>10.1101/2021.12.18.21268002</v>
      </c>
      <c r="C538">
        <v>3</v>
      </c>
      <c r="D538" s="4" t="s">
        <v>1348</v>
      </c>
      <c r="E538" s="4" t="s">
        <v>1349</v>
      </c>
      <c r="F538" s="4">
        <v>5</v>
      </c>
    </row>
    <row r="539" spans="1:6" x14ac:dyDescent="0.45">
      <c r="A539" t="s">
        <v>1350</v>
      </c>
      <c r="B539" t="str">
        <f>_xlfn.REGEXREPLACE([1]query1!B539, "https://doi.org/", "")</f>
        <v>10.1109/jstsp.2024.3516382</v>
      </c>
      <c r="C539">
        <v>3</v>
      </c>
      <c r="D539" s="4" t="s">
        <v>1054</v>
      </c>
      <c r="E539" s="4" t="s">
        <v>1351</v>
      </c>
      <c r="F539" s="4">
        <v>5</v>
      </c>
    </row>
    <row r="540" spans="1:6" x14ac:dyDescent="0.45">
      <c r="A540" t="s">
        <v>1352</v>
      </c>
      <c r="B540" t="str">
        <f>_xlfn.REGEXREPLACE([1]query1!B540, "https://doi.org/", "")</f>
        <v>10.5194/egusphere-egu21-6821</v>
      </c>
      <c r="C540">
        <v>3</v>
      </c>
      <c r="D540" s="4" t="s">
        <v>1353</v>
      </c>
      <c r="E540" s="4" t="s">
        <v>1354</v>
      </c>
      <c r="F540" s="4">
        <v>5</v>
      </c>
    </row>
    <row r="541" spans="1:6" x14ac:dyDescent="0.45">
      <c r="A541" t="s">
        <v>281</v>
      </c>
      <c r="B541" t="str">
        <f>_xlfn.REGEXREPLACE([1]query1!B541, "https://doi.org/", "")</f>
        <v>10.36227/techrxiv.13150805.v1</v>
      </c>
      <c r="C541">
        <v>3</v>
      </c>
      <c r="D541" s="4" t="s">
        <v>1035</v>
      </c>
      <c r="E541" s="4" t="s">
        <v>1355</v>
      </c>
      <c r="F541" s="4">
        <v>5</v>
      </c>
    </row>
    <row r="542" spans="1:6" x14ac:dyDescent="0.45">
      <c r="A542" t="s">
        <v>1356</v>
      </c>
      <c r="B542" t="str">
        <f>_xlfn.REGEXREPLACE([1]query1!B542, "https://doi.org/", "")</f>
        <v>10.33140/eesrr.05.03.05</v>
      </c>
      <c r="C542">
        <v>3</v>
      </c>
      <c r="D542" s="4" t="s">
        <v>850</v>
      </c>
      <c r="E542" s="4" t="s">
        <v>1357</v>
      </c>
      <c r="F542" s="4">
        <v>5</v>
      </c>
    </row>
    <row r="543" spans="1:6" x14ac:dyDescent="0.45">
      <c r="A543" t="s">
        <v>1358</v>
      </c>
      <c r="B543" t="str">
        <f>_xlfn.REGEXREPLACE([1]query1!B543, "https://doi.org/", "")</f>
        <v>10.1145/3586183.3606746</v>
      </c>
      <c r="C543">
        <v>2</v>
      </c>
      <c r="D543" s="4" t="s">
        <v>1359</v>
      </c>
      <c r="E543" s="4" t="s">
        <v>1360</v>
      </c>
      <c r="F543" s="4">
        <v>5</v>
      </c>
    </row>
    <row r="544" spans="1:6" x14ac:dyDescent="0.45">
      <c r="A544" t="s">
        <v>1361</v>
      </c>
      <c r="B544" t="str">
        <f>_xlfn.REGEXREPLACE([1]query1!B544, "https://doi.org/", "")</f>
        <v>10.1155/2023/5532174</v>
      </c>
      <c r="C544">
        <v>2</v>
      </c>
      <c r="D544" s="4" t="s">
        <v>1362</v>
      </c>
      <c r="E544" s="4" t="s">
        <v>1363</v>
      </c>
      <c r="F544" s="4">
        <v>5</v>
      </c>
    </row>
    <row r="545" spans="1:6" x14ac:dyDescent="0.45">
      <c r="A545" t="s">
        <v>1364</v>
      </c>
      <c r="B545" t="str">
        <f>_xlfn.REGEXREPLACE([1]query1!B545, "https://doi.org/", "")</f>
        <v>10.3390/rs15102583</v>
      </c>
      <c r="C545">
        <v>2</v>
      </c>
      <c r="D545" s="4" t="s">
        <v>1365</v>
      </c>
      <c r="E545" s="4" t="s">
        <v>1366</v>
      </c>
      <c r="F545" s="4">
        <v>5</v>
      </c>
    </row>
    <row r="546" spans="1:6" x14ac:dyDescent="0.45">
      <c r="A546" t="s">
        <v>1367</v>
      </c>
      <c r="B546" t="str">
        <f>_xlfn.REGEXREPLACE([1]query1!B546, "https://doi.org/", "")</f>
        <v>10.48550/arxiv.2012.04011</v>
      </c>
      <c r="C546">
        <v>2</v>
      </c>
      <c r="D546" s="4" t="s">
        <v>1368</v>
      </c>
      <c r="E546" s="4" t="s">
        <v>1369</v>
      </c>
      <c r="F546" s="4">
        <v>5</v>
      </c>
    </row>
    <row r="547" spans="1:6" x14ac:dyDescent="0.45">
      <c r="A547" t="s">
        <v>1370</v>
      </c>
      <c r="B547" t="str">
        <f>_xlfn.REGEXREPLACE([1]query1!B547, "https://doi.org/", "")</f>
        <v>10.5194/egusphere-egu21-154</v>
      </c>
      <c r="C547">
        <v>2</v>
      </c>
      <c r="D547" s="4" t="s">
        <v>1371</v>
      </c>
      <c r="E547" s="4" t="s">
        <v>1372</v>
      </c>
      <c r="F547" s="4">
        <v>5</v>
      </c>
    </row>
    <row r="548" spans="1:6" x14ac:dyDescent="0.45">
      <c r="A548" t="s">
        <v>1373</v>
      </c>
      <c r="B548" t="str">
        <f>_xlfn.REGEXREPLACE([1]query1!B548, "https://doi.org/", "")</f>
        <v>10.1109/iros58592.2024.10802740</v>
      </c>
      <c r="C548">
        <v>2</v>
      </c>
      <c r="D548" s="4" t="s">
        <v>1374</v>
      </c>
      <c r="E548" s="4" t="s">
        <v>1375</v>
      </c>
      <c r="F548" s="4">
        <v>5</v>
      </c>
    </row>
    <row r="549" spans="1:6" x14ac:dyDescent="0.45">
      <c r="A549" t="s">
        <v>1376</v>
      </c>
      <c r="B549" t="str">
        <f>_xlfn.REGEXREPLACE([1]query1!B549, "https://doi.org/", "")</f>
        <v>10.1109/wsc52266.2021.9715328</v>
      </c>
      <c r="C549">
        <v>2</v>
      </c>
      <c r="D549" s="4" t="s">
        <v>834</v>
      </c>
      <c r="E549" s="4" t="s">
        <v>1377</v>
      </c>
      <c r="F549" s="4">
        <v>5</v>
      </c>
    </row>
    <row r="550" spans="1:6" x14ac:dyDescent="0.45">
      <c r="A550" t="s">
        <v>1378</v>
      </c>
      <c r="B550" t="str">
        <f>_xlfn.REGEXREPLACE([1]query1!B550, "https://doi.org/", "")</f>
        <v>10.1080/07350015.2021.2019046</v>
      </c>
      <c r="C550">
        <v>2</v>
      </c>
      <c r="D550" s="4" t="s">
        <v>1379</v>
      </c>
      <c r="E550" s="4" t="s">
        <v>1380</v>
      </c>
      <c r="F550" s="4">
        <v>5</v>
      </c>
    </row>
    <row r="551" spans="1:6" x14ac:dyDescent="0.45">
      <c r="A551" t="s">
        <v>1381</v>
      </c>
      <c r="B551" t="str">
        <f>_xlfn.REGEXREPLACE([1]query1!B551, "https://doi.org/", "")</f>
        <v>10.1016/j.nima.2024.169729</v>
      </c>
      <c r="C551">
        <v>2</v>
      </c>
      <c r="D551" s="4" t="s">
        <v>1003</v>
      </c>
      <c r="E551" s="4" t="s">
        <v>1382</v>
      </c>
      <c r="F551" s="4">
        <v>5</v>
      </c>
    </row>
    <row r="552" spans="1:6" x14ac:dyDescent="0.45">
      <c r="A552" t="s">
        <v>1383</v>
      </c>
      <c r="B552" t="str">
        <f>_xlfn.REGEXREPLACE([1]query1!B552, "https://doi.org/", "")</f>
        <v>10.1080/08982112.2020.1814959</v>
      </c>
      <c r="C552">
        <v>2</v>
      </c>
      <c r="D552" s="4" t="s">
        <v>980</v>
      </c>
      <c r="E552" s="4" t="s">
        <v>1384</v>
      </c>
      <c r="F552" s="4">
        <v>5</v>
      </c>
    </row>
    <row r="553" spans="1:6" x14ac:dyDescent="0.45">
      <c r="A553" t="s">
        <v>1385</v>
      </c>
      <c r="B553" t="str">
        <f>_xlfn.REGEXREPLACE([1]query1!B553, "https://doi.org/", "")</f>
        <v>10.1111/jcal.12637</v>
      </c>
      <c r="C553">
        <v>2</v>
      </c>
      <c r="D553" s="4" t="s">
        <v>1386</v>
      </c>
      <c r="E553" s="4" t="s">
        <v>1387</v>
      </c>
      <c r="F553" s="4">
        <v>5</v>
      </c>
    </row>
    <row r="554" spans="1:6" x14ac:dyDescent="0.45">
      <c r="A554" t="s">
        <v>1388</v>
      </c>
      <c r="B554" t="str">
        <f>_xlfn.REGEXREPLACE([1]query1!B554, "https://doi.org/", "")</f>
        <v>10.1086/726934</v>
      </c>
      <c r="C554">
        <v>2</v>
      </c>
      <c r="D554" s="4" t="s">
        <v>649</v>
      </c>
      <c r="E554" s="4" t="s">
        <v>1389</v>
      </c>
      <c r="F554" s="4">
        <v>5</v>
      </c>
    </row>
    <row r="555" spans="1:6" x14ac:dyDescent="0.45">
      <c r="A555" t="s">
        <v>1390</v>
      </c>
      <c r="B555" t="str">
        <f>_xlfn.REGEXREPLACE([1]query1!B555, "https://doi.org/", "")</f>
        <v>10.5194/isprs-archives-xliii-b4-2020-791-2020</v>
      </c>
      <c r="C555">
        <v>2</v>
      </c>
      <c r="D555" s="4" t="s">
        <v>1391</v>
      </c>
      <c r="E555" s="4" t="s">
        <v>1392</v>
      </c>
      <c r="F555" s="4">
        <v>5</v>
      </c>
    </row>
    <row r="556" spans="1:6" x14ac:dyDescent="0.45">
      <c r="A556" t="s">
        <v>1393</v>
      </c>
      <c r="B556" t="str">
        <f>_xlfn.REGEXREPLACE([1]query1!B556, "https://doi.org/", "")</f>
        <v>10.2172/1958791</v>
      </c>
      <c r="C556">
        <v>2</v>
      </c>
      <c r="D556" s="4" t="s">
        <v>1394</v>
      </c>
      <c r="E556" s="4" t="s">
        <v>1395</v>
      </c>
      <c r="F556" s="4">
        <v>5</v>
      </c>
    </row>
    <row r="557" spans="1:6" x14ac:dyDescent="0.45">
      <c r="A557" t="s">
        <v>1396</v>
      </c>
      <c r="B557" t="str">
        <f>_xlfn.REGEXREPLACE([1]query1!B557, "https://doi.org/", "")</f>
        <v>10.5194/egusphere-2024-871</v>
      </c>
      <c r="C557">
        <v>2</v>
      </c>
      <c r="D557" s="4" t="s">
        <v>1287</v>
      </c>
      <c r="E557" s="4" t="s">
        <v>1397</v>
      </c>
      <c r="F557" s="4">
        <v>5</v>
      </c>
    </row>
    <row r="558" spans="1:6" x14ac:dyDescent="0.45">
      <c r="A558" t="s">
        <v>1398</v>
      </c>
      <c r="B558" t="str">
        <f>_xlfn.REGEXREPLACE([1]query1!B558, "https://doi.org/", "")</f>
        <v>10.2139/ssrn.4255724</v>
      </c>
      <c r="C558">
        <v>2</v>
      </c>
      <c r="D558" s="4" t="s">
        <v>1193</v>
      </c>
      <c r="E558" s="4" t="s">
        <v>1399</v>
      </c>
      <c r="F558" s="4">
        <v>5</v>
      </c>
    </row>
    <row r="559" spans="1:6" x14ac:dyDescent="0.45">
      <c r="A559" t="s">
        <v>1400</v>
      </c>
      <c r="B559" t="str">
        <f>_xlfn.REGEXREPLACE([1]query1!B559, "https://doi.org/", "")</f>
        <v>10.1609/aaai.v38i21.30388</v>
      </c>
      <c r="C559">
        <v>2</v>
      </c>
      <c r="D559" s="4" t="s">
        <v>1021</v>
      </c>
      <c r="E559" s="4" t="s">
        <v>1401</v>
      </c>
      <c r="F559" s="4">
        <v>5</v>
      </c>
    </row>
    <row r="560" spans="1:6" x14ac:dyDescent="0.45">
      <c r="A560" t="s">
        <v>1402</v>
      </c>
      <c r="B560" t="str">
        <f>_xlfn.REGEXREPLACE([1]query1!B560, "https://doi.org/", "")</f>
        <v>10.1109/igarss47720.2021.9554051</v>
      </c>
      <c r="C560">
        <v>2</v>
      </c>
      <c r="D560" s="4" t="s">
        <v>1403</v>
      </c>
      <c r="E560" s="4" t="s">
        <v>1404</v>
      </c>
      <c r="F560" s="4">
        <v>5</v>
      </c>
    </row>
    <row r="561" spans="1:6" x14ac:dyDescent="0.45">
      <c r="A561" t="s">
        <v>1405</v>
      </c>
      <c r="B561" t="str">
        <f>_xlfn.REGEXREPLACE([1]query1!B561, "https://doi.org/", "")</f>
        <v>10.1007/s41748-024-00437-6</v>
      </c>
      <c r="C561">
        <v>2</v>
      </c>
      <c r="D561" s="4" t="s">
        <v>1406</v>
      </c>
      <c r="E561" s="4" t="s">
        <v>1407</v>
      </c>
      <c r="F561" s="4">
        <v>5</v>
      </c>
    </row>
    <row r="562" spans="1:6" x14ac:dyDescent="0.45">
      <c r="A562" t="s">
        <v>1408</v>
      </c>
      <c r="B562" t="str">
        <f>_xlfn.REGEXREPLACE([1]query1!B562, "https://doi.org/", "")</f>
        <v>10.3389/fhumd.2022.670647</v>
      </c>
      <c r="C562">
        <v>2</v>
      </c>
      <c r="D562" s="4" t="s">
        <v>1409</v>
      </c>
      <c r="E562" s="4" t="s">
        <v>1410</v>
      </c>
      <c r="F562" s="4">
        <v>5</v>
      </c>
    </row>
    <row r="563" spans="1:6" x14ac:dyDescent="0.45">
      <c r="A563" t="s">
        <v>1411</v>
      </c>
      <c r="B563" t="str">
        <f>_xlfn.REGEXREPLACE([1]query1!B563, "https://doi.org/", "")</f>
        <v>10.1007/698_2021_815</v>
      </c>
      <c r="C563">
        <v>2</v>
      </c>
      <c r="D563" s="4" t="s">
        <v>1412</v>
      </c>
      <c r="E563" s="4" t="s">
        <v>1413</v>
      </c>
      <c r="F563" s="4">
        <v>5</v>
      </c>
    </row>
    <row r="564" spans="1:6" x14ac:dyDescent="0.45">
      <c r="A564" t="s">
        <v>1414</v>
      </c>
      <c r="B564" t="str">
        <f>_xlfn.REGEXREPLACE([1]query1!B564, "https://doi.org/", "")</f>
        <v>10.1109/jflex.2023.3237991</v>
      </c>
      <c r="C564">
        <v>2</v>
      </c>
      <c r="D564" s="4" t="s">
        <v>1415</v>
      </c>
      <c r="E564" s="4" t="s">
        <v>1416</v>
      </c>
      <c r="F564" s="4">
        <v>4</v>
      </c>
    </row>
    <row r="565" spans="1:6" x14ac:dyDescent="0.45">
      <c r="A565" t="s">
        <v>1417</v>
      </c>
      <c r="B565" t="str">
        <f>_xlfn.REGEXREPLACE([1]query1!B565, "https://doi.org/", "")</f>
        <v>10.1920/wp.cem.2020.1720</v>
      </c>
      <c r="C565">
        <v>2</v>
      </c>
      <c r="D565" s="4" t="s">
        <v>1418</v>
      </c>
      <c r="E565" s="4" t="s">
        <v>1419</v>
      </c>
      <c r="F565" s="4">
        <v>4</v>
      </c>
    </row>
    <row r="566" spans="1:6" x14ac:dyDescent="0.45">
      <c r="A566" t="s">
        <v>1420</v>
      </c>
      <c r="B566" t="str">
        <f>_xlfn.REGEXREPLACE([1]query1!B566, "https://doi.org/", "")</f>
        <v>10.1115/1.4064436</v>
      </c>
      <c r="C566">
        <v>2</v>
      </c>
      <c r="D566" s="4" t="s">
        <v>1249</v>
      </c>
      <c r="E566" s="4" t="s">
        <v>1421</v>
      </c>
      <c r="F566" s="4">
        <v>4</v>
      </c>
    </row>
    <row r="567" spans="1:6" x14ac:dyDescent="0.45">
      <c r="A567" t="s">
        <v>1422</v>
      </c>
      <c r="B567" t="str">
        <f>_xlfn.REGEXREPLACE([1]query1!B567, "https://doi.org/", "")</f>
        <v>10.1109/wimob61911.2024.10770394</v>
      </c>
      <c r="C567">
        <v>2</v>
      </c>
      <c r="D567" s="4" t="s">
        <v>1153</v>
      </c>
      <c r="E567" s="4" t="s">
        <v>1423</v>
      </c>
      <c r="F567" s="4">
        <v>4</v>
      </c>
    </row>
    <row r="568" spans="1:6" x14ac:dyDescent="0.45">
      <c r="A568" t="s">
        <v>1424</v>
      </c>
      <c r="B568" t="str">
        <f>_xlfn.REGEXREPLACE([1]query1!B568, "https://doi.org/", "")</f>
        <v>10.1007/978-3-031-51244-5_20</v>
      </c>
      <c r="C568">
        <v>2</v>
      </c>
      <c r="D568" s="4" t="s">
        <v>1425</v>
      </c>
      <c r="E568" s="4" t="s">
        <v>1426</v>
      </c>
      <c r="F568" s="4">
        <v>4</v>
      </c>
    </row>
    <row r="569" spans="1:6" x14ac:dyDescent="0.45">
      <c r="A569" t="s">
        <v>1427</v>
      </c>
      <c r="B569" t="str">
        <f>_xlfn.REGEXREPLACE([1]query1!B569, "https://doi.org/", "")</f>
        <v>10.1109/ieeeconf35879.2020.9329708</v>
      </c>
      <c r="C569">
        <v>2</v>
      </c>
      <c r="D569" s="4" t="s">
        <v>1060</v>
      </c>
      <c r="E569" s="4" t="s">
        <v>1428</v>
      </c>
      <c r="F569" s="4">
        <v>4</v>
      </c>
    </row>
    <row r="570" spans="1:6" x14ac:dyDescent="0.45">
      <c r="A570" t="s">
        <v>1429</v>
      </c>
      <c r="B570" t="str">
        <f>_xlfn.REGEXREPLACE([1]query1!B570, "https://doi.org/", "")</f>
        <v>10.1109/fpl53798.2021.00070</v>
      </c>
      <c r="C570">
        <v>2</v>
      </c>
      <c r="D570" s="4" t="s">
        <v>1430</v>
      </c>
      <c r="E570" s="4" t="s">
        <v>1431</v>
      </c>
      <c r="F570" s="4">
        <v>4</v>
      </c>
    </row>
    <row r="571" spans="1:6" x14ac:dyDescent="0.45">
      <c r="A571" t="s">
        <v>1432</v>
      </c>
      <c r="B571" t="str">
        <f>_xlfn.REGEXREPLACE([1]query1!B571, "https://doi.org/", "")</f>
        <v>10.1109/icc51166.2024.10622971</v>
      </c>
      <c r="C571">
        <v>2</v>
      </c>
      <c r="D571" s="4" t="s">
        <v>1433</v>
      </c>
      <c r="E571" s="4" t="s">
        <v>1434</v>
      </c>
      <c r="F571" s="4">
        <v>4</v>
      </c>
    </row>
    <row r="572" spans="1:6" x14ac:dyDescent="0.45">
      <c r="A572" t="s">
        <v>1435</v>
      </c>
      <c r="B572" t="str">
        <f>_xlfn.REGEXREPLACE([1]query1!B572, "https://doi.org/", "")</f>
        <v>10.1021/acs.macromol.4c01217</v>
      </c>
      <c r="C572">
        <v>2</v>
      </c>
      <c r="D572" s="4" t="s">
        <v>1033</v>
      </c>
      <c r="E572" s="4" t="s">
        <v>1436</v>
      </c>
      <c r="F572" s="4">
        <v>4</v>
      </c>
    </row>
    <row r="573" spans="1:6" x14ac:dyDescent="0.45">
      <c r="A573" t="s">
        <v>1437</v>
      </c>
      <c r="B573" t="str">
        <f>_xlfn.REGEXREPLACE([1]query1!B573, "https://doi.org/", "")</f>
        <v>10.1109/access.2021.3131481</v>
      </c>
      <c r="C573">
        <v>2</v>
      </c>
      <c r="D573" s="4" t="s">
        <v>839</v>
      </c>
      <c r="E573" s="4" t="s">
        <v>1438</v>
      </c>
      <c r="F573" s="4">
        <v>4</v>
      </c>
    </row>
    <row r="574" spans="1:6" x14ac:dyDescent="0.45">
      <c r="A574" t="s">
        <v>1439</v>
      </c>
      <c r="B574" t="str">
        <f>_xlfn.REGEXREPLACE([1]query1!B574, "https://doi.org/", "")</f>
        <v>10.23919/epe21ecceeurope50061.2021.9570511</v>
      </c>
      <c r="C574">
        <v>2</v>
      </c>
      <c r="D574" s="4" t="s">
        <v>1440</v>
      </c>
      <c r="E574" s="4" t="s">
        <v>1441</v>
      </c>
      <c r="F574" s="4">
        <v>4</v>
      </c>
    </row>
    <row r="575" spans="1:6" x14ac:dyDescent="0.45">
      <c r="A575" t="s">
        <v>1442</v>
      </c>
      <c r="B575" t="str">
        <f>_xlfn.REGEXREPLACE([1]query1!B575, "https://doi.org/", "")</f>
        <v>10.1109/tap.2020.2998431</v>
      </c>
      <c r="C575">
        <v>2</v>
      </c>
      <c r="D575" s="4" t="s">
        <v>1443</v>
      </c>
      <c r="E575" s="4" t="s">
        <v>1444</v>
      </c>
      <c r="F575" s="4">
        <v>4</v>
      </c>
    </row>
    <row r="576" spans="1:6" x14ac:dyDescent="0.45">
      <c r="A576" t="s">
        <v>1445</v>
      </c>
      <c r="B576" t="str">
        <f>_xlfn.REGEXREPLACE([1]query1!B576, "https://doi.org/", "")</f>
        <v>10.1109/access.2023.3304245</v>
      </c>
      <c r="C576">
        <v>2</v>
      </c>
      <c r="D576" s="4" t="s">
        <v>1446</v>
      </c>
      <c r="E576" s="4" t="s">
        <v>1447</v>
      </c>
      <c r="F576" s="4">
        <v>4</v>
      </c>
    </row>
    <row r="577" spans="1:6" x14ac:dyDescent="0.45">
      <c r="A577" t="s">
        <v>1448</v>
      </c>
      <c r="B577" t="str">
        <f>_xlfn.REGEXREPLACE([1]query1!B577, "https://doi.org/", "")</f>
        <v>10.1007/s00180-023-01340-w</v>
      </c>
      <c r="C577">
        <v>2</v>
      </c>
      <c r="D577" s="4" t="s">
        <v>1251</v>
      </c>
      <c r="E577" s="4" t="s">
        <v>1449</v>
      </c>
      <c r="F577" s="4">
        <v>4</v>
      </c>
    </row>
    <row r="578" spans="1:6" x14ac:dyDescent="0.45">
      <c r="A578" t="s">
        <v>1450</v>
      </c>
      <c r="B578" t="str">
        <f>_xlfn.REGEXREPLACE([1]query1!B578, "https://doi.org/", "")</f>
        <v>10.18485/aeletters.2021.6.4.1</v>
      </c>
      <c r="C578">
        <v>2</v>
      </c>
      <c r="D578" s="4" t="s">
        <v>1451</v>
      </c>
      <c r="E578" s="4" t="s">
        <v>1452</v>
      </c>
      <c r="F578" s="4">
        <v>4</v>
      </c>
    </row>
    <row r="579" spans="1:6" x14ac:dyDescent="0.45">
      <c r="A579" t="s">
        <v>1453</v>
      </c>
      <c r="B579" t="str">
        <f>_xlfn.REGEXREPLACE([1]query1!B579, "https://doi.org/", "")</f>
        <v>10.3390/risks10030054</v>
      </c>
      <c r="C579">
        <v>2</v>
      </c>
      <c r="D579" s="4" t="s">
        <v>1454</v>
      </c>
      <c r="E579" s="4"/>
      <c r="F579" s="4">
        <v>4</v>
      </c>
    </row>
    <row r="580" spans="1:6" x14ac:dyDescent="0.45">
      <c r="A580" t="s">
        <v>1455</v>
      </c>
      <c r="B580" t="str">
        <f>_xlfn.REGEXREPLACE([1]query1!B580, "https://doi.org/", "")</f>
        <v>10.1049/icp.2021.2555</v>
      </c>
      <c r="C580">
        <v>2</v>
      </c>
      <c r="D580" s="4" t="s">
        <v>1456</v>
      </c>
      <c r="E580" s="4" t="s">
        <v>1457</v>
      </c>
      <c r="F580" s="4">
        <v>4</v>
      </c>
    </row>
    <row r="581" spans="1:6" x14ac:dyDescent="0.45">
      <c r="A581" t="s">
        <v>1458</v>
      </c>
      <c r="B581" t="str">
        <f>_xlfn.REGEXREPLACE([1]query1!B581, "https://doi.org/", "")</f>
        <v>10.1109/infocomwkshps61880.2024.10620863</v>
      </c>
      <c r="C581">
        <v>2</v>
      </c>
      <c r="D581" s="4" t="s">
        <v>1159</v>
      </c>
      <c r="E581" s="4" t="s">
        <v>1459</v>
      </c>
      <c r="F581" s="4">
        <v>4</v>
      </c>
    </row>
    <row r="582" spans="1:6" x14ac:dyDescent="0.45">
      <c r="A582" t="s">
        <v>1460</v>
      </c>
      <c r="B582" t="str">
        <f>_xlfn.REGEXREPLACE([1]query1!B582, "https://doi.org/", "")</f>
        <v>10.1101/2024.02.13.580021</v>
      </c>
      <c r="C582">
        <v>2</v>
      </c>
      <c r="D582" s="4" t="s">
        <v>1461</v>
      </c>
      <c r="E582" s="4" t="s">
        <v>1462</v>
      </c>
      <c r="F582" s="4">
        <v>4</v>
      </c>
    </row>
    <row r="583" spans="1:6" x14ac:dyDescent="0.45">
      <c r="A583" t="s">
        <v>1463</v>
      </c>
      <c r="B583" t="str">
        <f>_xlfn.REGEXREPLACE([1]query1!B583, "https://doi.org/", "")</f>
        <v>10.1109/wsc60868.2023.10408073</v>
      </c>
      <c r="C583">
        <v>2</v>
      </c>
      <c r="D583" s="4" t="s">
        <v>1464</v>
      </c>
      <c r="E583" s="4" t="s">
        <v>1465</v>
      </c>
      <c r="F583" s="4">
        <v>4</v>
      </c>
    </row>
    <row r="584" spans="1:6" x14ac:dyDescent="0.45">
      <c r="A584" t="s">
        <v>1466</v>
      </c>
      <c r="B584" t="str">
        <f>_xlfn.REGEXREPLACE([1]query1!B584, "https://doi.org/", "")</f>
        <v>10.5465/ambpp.2020.12925abstract</v>
      </c>
      <c r="C584">
        <v>2</v>
      </c>
      <c r="D584" s="4" t="s">
        <v>1040</v>
      </c>
      <c r="E584" s="4" t="s">
        <v>1467</v>
      </c>
      <c r="F584" s="4">
        <v>4</v>
      </c>
    </row>
    <row r="585" spans="1:6" x14ac:dyDescent="0.45">
      <c r="A585" t="s">
        <v>1468</v>
      </c>
      <c r="B585" t="str">
        <f>_xlfn.REGEXREPLACE([1]query1!B585, "https://doi.org/", "")</f>
        <v>10.1109/tpel.2024.3496993</v>
      </c>
      <c r="C585">
        <v>2</v>
      </c>
      <c r="D585" s="4" t="s">
        <v>1469</v>
      </c>
      <c r="E585" s="4"/>
      <c r="F585" s="4">
        <v>4</v>
      </c>
    </row>
    <row r="586" spans="1:6" x14ac:dyDescent="0.45">
      <c r="A586" t="s">
        <v>1470</v>
      </c>
      <c r="B586" t="str">
        <f>_xlfn.REGEXREPLACE([1]query1!B586, "https://doi.org/", "")</f>
        <v>10.1007/s00285-023-02016-1</v>
      </c>
      <c r="C586">
        <v>2</v>
      </c>
      <c r="D586" s="4" t="s">
        <v>962</v>
      </c>
      <c r="E586" s="4" t="s">
        <v>1471</v>
      </c>
      <c r="F586" s="4">
        <v>4</v>
      </c>
    </row>
    <row r="587" spans="1:6" x14ac:dyDescent="0.45">
      <c r="A587" t="s">
        <v>1472</v>
      </c>
      <c r="B587" t="str">
        <f>_xlfn.REGEXREPLACE([1]query1!B587, "https://doi.org/", "")</f>
        <v>10.1109/tvt.2023.3336891</v>
      </c>
      <c r="C587">
        <v>2</v>
      </c>
      <c r="D587" s="4" t="s">
        <v>1473</v>
      </c>
      <c r="E587" s="4" t="s">
        <v>1474</v>
      </c>
      <c r="F587" s="4">
        <v>4</v>
      </c>
    </row>
    <row r="588" spans="1:6" x14ac:dyDescent="0.45">
      <c r="A588" t="s">
        <v>1475</v>
      </c>
      <c r="B588" t="str">
        <f>_xlfn.REGEXREPLACE([1]query1!B588, "https://doi.org/", "")</f>
        <v>10.1080/02664763.2021.1981256</v>
      </c>
      <c r="C588">
        <v>2</v>
      </c>
      <c r="D588" s="4" t="s">
        <v>1476</v>
      </c>
      <c r="E588" s="4" t="s">
        <v>1477</v>
      </c>
      <c r="F588" s="4">
        <v>4</v>
      </c>
    </row>
    <row r="589" spans="1:6" x14ac:dyDescent="0.45">
      <c r="A589" t="s">
        <v>1478</v>
      </c>
      <c r="B589" t="str">
        <f>_xlfn.REGEXREPLACE([1]query1!B589, "https://doi.org/", "")</f>
        <v>10.1088/1361-6471/ab6ee1</v>
      </c>
      <c r="C589">
        <v>2</v>
      </c>
      <c r="D589" s="4" t="s">
        <v>1479</v>
      </c>
      <c r="E589" s="4" t="s">
        <v>1480</v>
      </c>
      <c r="F589" s="4">
        <v>4</v>
      </c>
    </row>
    <row r="590" spans="1:6" x14ac:dyDescent="0.45">
      <c r="A590" t="s">
        <v>1481</v>
      </c>
      <c r="B590" t="str">
        <f>_xlfn.REGEXREPLACE([1]query1!B590, "https://doi.org/", "")</f>
        <v>10.1109/iwqos57198.2023.10188781</v>
      </c>
      <c r="C590">
        <v>2</v>
      </c>
      <c r="D590" s="4" t="s">
        <v>1108</v>
      </c>
      <c r="E590" s="4" t="s">
        <v>1482</v>
      </c>
      <c r="F590" s="4">
        <v>4</v>
      </c>
    </row>
    <row r="591" spans="1:6" x14ac:dyDescent="0.45">
      <c r="A591" t="s">
        <v>1483</v>
      </c>
      <c r="B591" t="str">
        <f>_xlfn.REGEXREPLACE([1]query1!B591, "https://doi.org/", "")</f>
        <v>10.1007/s10985-021-09520-w</v>
      </c>
      <c r="C591">
        <v>2</v>
      </c>
      <c r="D591" s="4" t="s">
        <v>1484</v>
      </c>
      <c r="E591" s="4" t="s">
        <v>1485</v>
      </c>
      <c r="F591" s="4">
        <v>4</v>
      </c>
    </row>
    <row r="592" spans="1:6" x14ac:dyDescent="0.45">
      <c r="A592" t="s">
        <v>1451</v>
      </c>
      <c r="B592" t="str">
        <f>_xlfn.REGEXREPLACE([1]query1!B592, "https://doi.org/", "")</f>
        <v>10.1109/tbc.2024.3434731</v>
      </c>
      <c r="C592">
        <v>2</v>
      </c>
      <c r="D592" s="4" t="s">
        <v>1486</v>
      </c>
      <c r="E592" s="4" t="s">
        <v>1487</v>
      </c>
      <c r="F592" s="4">
        <v>4</v>
      </c>
    </row>
    <row r="593" spans="1:6" x14ac:dyDescent="0.45">
      <c r="A593" t="s">
        <v>1488</v>
      </c>
      <c r="B593" t="str">
        <f>_xlfn.REGEXREPLACE([1]query1!B593, "https://doi.org/", "")</f>
        <v>10.1109/cgo57630.2024.10444805</v>
      </c>
      <c r="C593">
        <v>2</v>
      </c>
      <c r="D593" s="4" t="s">
        <v>1188</v>
      </c>
      <c r="E593" s="4" t="s">
        <v>1489</v>
      </c>
      <c r="F593" s="4">
        <v>4</v>
      </c>
    </row>
    <row r="594" spans="1:6" x14ac:dyDescent="0.45">
      <c r="A594" t="s">
        <v>1490</v>
      </c>
      <c r="B594" t="str">
        <f>_xlfn.REGEXREPLACE([1]query1!B594, "https://doi.org/", "")</f>
        <v>10.48550/arxiv.2104.03446</v>
      </c>
      <c r="C594">
        <v>2</v>
      </c>
      <c r="D594" s="4" t="s">
        <v>1183</v>
      </c>
      <c r="E594" s="4" t="s">
        <v>1491</v>
      </c>
      <c r="F594" s="4">
        <v>4</v>
      </c>
    </row>
    <row r="595" spans="1:6" x14ac:dyDescent="0.45">
      <c r="A595" t="s">
        <v>1492</v>
      </c>
      <c r="B595" t="str">
        <f>_xlfn.REGEXREPLACE([1]query1!B595, "https://doi.org/", "")</f>
        <v>10.5194/gmd-2019-373</v>
      </c>
      <c r="C595">
        <v>2</v>
      </c>
      <c r="D595" s="4" t="s">
        <v>1141</v>
      </c>
      <c r="E595" s="4" t="s">
        <v>1493</v>
      </c>
      <c r="F595" s="4">
        <v>4</v>
      </c>
    </row>
    <row r="596" spans="1:6" x14ac:dyDescent="0.45">
      <c r="A596" t="s">
        <v>1494</v>
      </c>
      <c r="B596" t="str">
        <f>_xlfn.REGEXREPLACE([1]query1!B596, "https://doi.org/", "")</f>
        <v>10.3390/plants13182566</v>
      </c>
      <c r="C596">
        <v>2</v>
      </c>
      <c r="D596" s="4" t="s">
        <v>1495</v>
      </c>
      <c r="E596" s="4" t="s">
        <v>1496</v>
      </c>
      <c r="F596" s="4">
        <v>4</v>
      </c>
    </row>
    <row r="597" spans="1:6" x14ac:dyDescent="0.45">
      <c r="A597" t="s">
        <v>1497</v>
      </c>
      <c r="B597" t="str">
        <f>_xlfn.REGEXREPLACE([1]query1!B597, "https://doi.org/", "")</f>
        <v>10.1101/2022.11.08.515702</v>
      </c>
      <c r="C597">
        <v>2</v>
      </c>
      <c r="D597" s="4" t="s">
        <v>1498</v>
      </c>
      <c r="E597" s="4" t="s">
        <v>1499</v>
      </c>
      <c r="F597" s="4">
        <v>4</v>
      </c>
    </row>
    <row r="598" spans="1:6" x14ac:dyDescent="0.45">
      <c r="A598" t="s">
        <v>1500</v>
      </c>
      <c r="B598" t="str">
        <f>_xlfn.REGEXREPLACE([1]query1!B598, "https://doi.org/", "")</f>
        <v>10.1101/2020.06.14.150854</v>
      </c>
      <c r="C598">
        <v>2</v>
      </c>
      <c r="D598" s="4" t="s">
        <v>1501</v>
      </c>
      <c r="E598" s="4" t="s">
        <v>1502</v>
      </c>
      <c r="F598" s="4">
        <v>4</v>
      </c>
    </row>
    <row r="599" spans="1:6" x14ac:dyDescent="0.45">
      <c r="A599" t="s">
        <v>1503</v>
      </c>
      <c r="B599" t="str">
        <f>_xlfn.REGEXREPLACE([1]query1!B599, "https://doi.org/", "")</f>
        <v>10.1109/tsp.2024.3484908</v>
      </c>
      <c r="C599">
        <v>2</v>
      </c>
      <c r="D599" s="4" t="s">
        <v>1313</v>
      </c>
      <c r="E599" s="4" t="s">
        <v>1504</v>
      </c>
      <c r="F599" s="4">
        <v>4</v>
      </c>
    </row>
    <row r="600" spans="1:6" x14ac:dyDescent="0.45">
      <c r="A600" t="s">
        <v>234</v>
      </c>
      <c r="B600" t="str">
        <f>_xlfn.REGEXREPLACE([1]query1!B600, "https://doi.org/", "")</f>
        <v>10.1101/2020.06.05.118836</v>
      </c>
      <c r="C600">
        <v>2</v>
      </c>
      <c r="D600" s="4" t="s">
        <v>1505</v>
      </c>
      <c r="E600" s="4" t="s">
        <v>1506</v>
      </c>
      <c r="F600" s="4">
        <v>4</v>
      </c>
    </row>
    <row r="601" spans="1:6" x14ac:dyDescent="0.45">
      <c r="A601" t="s">
        <v>1507</v>
      </c>
      <c r="B601" t="str">
        <f>_xlfn.REGEXREPLACE([1]query1!B601, "https://doi.org/", "")</f>
        <v>10.1371/journal.pone.0259511</v>
      </c>
      <c r="C601">
        <v>2</v>
      </c>
      <c r="D601" s="4" t="s">
        <v>1508</v>
      </c>
      <c r="E601" s="4" t="s">
        <v>1509</v>
      </c>
      <c r="F601" s="4">
        <v>4</v>
      </c>
    </row>
    <row r="602" spans="1:6" x14ac:dyDescent="0.45">
      <c r="A602" t="s">
        <v>1510</v>
      </c>
      <c r="B602" t="str">
        <f>_xlfn.REGEXREPLACE([1]query1!B602, "https://doi.org/", "")</f>
        <v>10.32920/14641158</v>
      </c>
      <c r="C602">
        <v>2</v>
      </c>
      <c r="D602" s="4" t="s">
        <v>1511</v>
      </c>
      <c r="E602" s="4" t="s">
        <v>1512</v>
      </c>
      <c r="F602" s="4">
        <v>4</v>
      </c>
    </row>
    <row r="603" spans="1:6" x14ac:dyDescent="0.45">
      <c r="A603" t="s">
        <v>1513</v>
      </c>
      <c r="B603" t="str">
        <f>_xlfn.REGEXREPLACE([1]query1!B603, "https://doi.org/", "")</f>
        <v>10.1109/tgrs.2024.3391790</v>
      </c>
      <c r="C603">
        <v>2</v>
      </c>
      <c r="D603" s="4" t="s">
        <v>998</v>
      </c>
      <c r="E603" s="4" t="s">
        <v>1514</v>
      </c>
      <c r="F603" s="4">
        <v>4</v>
      </c>
    </row>
    <row r="604" spans="1:6" x14ac:dyDescent="0.45">
      <c r="A604" t="s">
        <v>1515</v>
      </c>
      <c r="B604" t="str">
        <f>_xlfn.REGEXREPLACE([1]query1!B604, "https://doi.org/", "")</f>
        <v>10.3389/fenvs.2024.1439573</v>
      </c>
      <c r="C604">
        <v>2</v>
      </c>
      <c r="D604" s="4" t="s">
        <v>1293</v>
      </c>
      <c r="E604" s="4" t="s">
        <v>1516</v>
      </c>
      <c r="F604" s="4">
        <v>4</v>
      </c>
    </row>
    <row r="605" spans="1:6" x14ac:dyDescent="0.45">
      <c r="A605" t="s">
        <v>1517</v>
      </c>
      <c r="B605" t="str">
        <f>_xlfn.REGEXREPLACE([1]query1!B605, "https://doi.org/", "")</f>
        <v>10.1109/iwcmc61514.2024.10592460</v>
      </c>
      <c r="C605">
        <v>2</v>
      </c>
      <c r="D605" s="4" t="s">
        <v>1518</v>
      </c>
      <c r="E605" s="4" t="s">
        <v>1519</v>
      </c>
      <c r="F605" s="4">
        <v>4</v>
      </c>
    </row>
    <row r="606" spans="1:6" x14ac:dyDescent="0.45">
      <c r="A606" t="s">
        <v>1520</v>
      </c>
      <c r="B606" t="str">
        <f>_xlfn.REGEXREPLACE([1]query1!B606, "https://doi.org/", "")</f>
        <v>10.1007/978-3-031-26889-2_19</v>
      </c>
      <c r="C606">
        <v>2</v>
      </c>
      <c r="D606" s="4" t="s">
        <v>1246</v>
      </c>
      <c r="E606" s="4" t="s">
        <v>1521</v>
      </c>
      <c r="F606" s="4">
        <v>4</v>
      </c>
    </row>
    <row r="607" spans="1:6" x14ac:dyDescent="0.45">
      <c r="A607" t="s">
        <v>1522</v>
      </c>
      <c r="B607" t="str">
        <f>_xlfn.REGEXREPLACE([1]query1!B607, "https://doi.org/", "")</f>
        <v>10.1007/978-3-030-78642-7_50</v>
      </c>
      <c r="C607">
        <v>2</v>
      </c>
      <c r="D607" s="4" t="s">
        <v>1523</v>
      </c>
      <c r="E607" s="4" t="s">
        <v>1524</v>
      </c>
      <c r="F607" s="4">
        <v>4</v>
      </c>
    </row>
    <row r="608" spans="1:6" x14ac:dyDescent="0.45">
      <c r="A608" t="s">
        <v>1525</v>
      </c>
      <c r="B608" t="str">
        <f>_xlfn.REGEXREPLACE([1]query1!B608, "https://doi.org/", "")</f>
        <v>10.5281/zenodo.6499208</v>
      </c>
      <c r="C608">
        <v>2</v>
      </c>
      <c r="D608" s="4" t="s">
        <v>1121</v>
      </c>
      <c r="E608" s="4" t="s">
        <v>1526</v>
      </c>
      <c r="F608" s="4">
        <v>4</v>
      </c>
    </row>
    <row r="609" spans="1:6" x14ac:dyDescent="0.45">
      <c r="A609" t="s">
        <v>1527</v>
      </c>
      <c r="B609" t="str">
        <f>_xlfn.REGEXREPLACE([1]query1!B609, "https://doi.org/", "")</f>
        <v>10.1101/2021.09.11.459915</v>
      </c>
      <c r="C609">
        <v>2</v>
      </c>
      <c r="D609" s="4" t="s">
        <v>861</v>
      </c>
      <c r="E609" s="4" t="s">
        <v>1528</v>
      </c>
      <c r="F609" s="4">
        <v>4</v>
      </c>
    </row>
    <row r="610" spans="1:6" x14ac:dyDescent="0.45">
      <c r="A610" t="s">
        <v>1529</v>
      </c>
      <c r="B610" t="str">
        <f>_xlfn.REGEXREPLACE([1]query1!B610, "https://doi.org/", "")</f>
        <v>10.1016/j.scitotenv.2022.157685</v>
      </c>
      <c r="C610">
        <v>2</v>
      </c>
      <c r="D610" s="4" t="s">
        <v>1530</v>
      </c>
      <c r="E610" s="4" t="s">
        <v>1531</v>
      </c>
      <c r="F610" s="4">
        <v>4</v>
      </c>
    </row>
    <row r="611" spans="1:6" x14ac:dyDescent="0.45">
      <c r="A611" t="s">
        <v>281</v>
      </c>
      <c r="B611" t="str">
        <f>_xlfn.REGEXREPLACE([1]query1!B611, "https://doi.org/", "")</f>
        <v>10.36227/techrxiv.13150805.v3</v>
      </c>
      <c r="C611">
        <v>2</v>
      </c>
      <c r="D611" s="4" t="s">
        <v>1532</v>
      </c>
      <c r="E611" s="4" t="s">
        <v>1533</v>
      </c>
      <c r="F611" s="4">
        <v>4</v>
      </c>
    </row>
    <row r="612" spans="1:6" x14ac:dyDescent="0.45">
      <c r="A612" t="s">
        <v>1534</v>
      </c>
      <c r="B612" t="str">
        <f>_xlfn.REGEXREPLACE([1]query1!B612, "https://doi.org/", "")</f>
        <v>10.2139/ssrn.4393415</v>
      </c>
      <c r="C612">
        <v>2</v>
      </c>
      <c r="D612" s="4" t="s">
        <v>1535</v>
      </c>
      <c r="E612" s="4" t="s">
        <v>1536</v>
      </c>
      <c r="F612" s="4">
        <v>4</v>
      </c>
    </row>
    <row r="613" spans="1:6" x14ac:dyDescent="0.45">
      <c r="A613" t="s">
        <v>1537</v>
      </c>
      <c r="B613" t="str">
        <f>_xlfn.REGEXREPLACE([1]query1!B613, "https://doi.org/", "")</f>
        <v>10.1080/01495933.2023.2263334</v>
      </c>
      <c r="C613">
        <v>2</v>
      </c>
      <c r="D613" s="4" t="s">
        <v>1538</v>
      </c>
      <c r="E613" s="4" t="s">
        <v>1539</v>
      </c>
      <c r="F613" s="4">
        <v>4</v>
      </c>
    </row>
    <row r="614" spans="1:6" x14ac:dyDescent="0.45">
      <c r="A614" t="s">
        <v>1540</v>
      </c>
      <c r="B614" t="str">
        <f>_xlfn.REGEXREPLACE([1]query1!B614, "https://doi.org/", "")</f>
        <v>10.3389/feart.2022.1129733</v>
      </c>
      <c r="C614">
        <v>1</v>
      </c>
      <c r="D614" s="4" t="s">
        <v>947</v>
      </c>
      <c r="E614" s="4" t="s">
        <v>1541</v>
      </c>
      <c r="F614" s="4">
        <v>4</v>
      </c>
    </row>
    <row r="615" spans="1:6" x14ac:dyDescent="0.45">
      <c r="A615" t="s">
        <v>1371</v>
      </c>
      <c r="B615" t="str">
        <f>_xlfn.REGEXREPLACE([1]query1!B615, "https://doi.org/", "")</f>
        <v>10.1201/9781003308867-35</v>
      </c>
      <c r="C615">
        <v>1</v>
      </c>
      <c r="D615" s="4" t="s">
        <v>1282</v>
      </c>
      <c r="E615" s="4" t="s">
        <v>1542</v>
      </c>
      <c r="F615" s="4">
        <v>4</v>
      </c>
    </row>
    <row r="616" spans="1:6" x14ac:dyDescent="0.45">
      <c r="A616" t="s">
        <v>1543</v>
      </c>
      <c r="B616" t="str">
        <f>_xlfn.REGEXREPLACE([1]query1!B616, "https://doi.org/", "")</f>
        <v>10.1109/tccn.2024.3487139</v>
      </c>
      <c r="C616">
        <v>1</v>
      </c>
      <c r="D616" s="4" t="s">
        <v>1544</v>
      </c>
      <c r="E616" s="4" t="s">
        <v>1545</v>
      </c>
      <c r="F616" s="4">
        <v>4</v>
      </c>
    </row>
    <row r="617" spans="1:6" x14ac:dyDescent="0.45">
      <c r="A617" t="s">
        <v>1546</v>
      </c>
      <c r="B617" t="str">
        <f>_xlfn.REGEXREPLACE([1]query1!B617, "https://doi.org/", "")</f>
        <v>10.1109/msn53354.2021.00099</v>
      </c>
      <c r="C617">
        <v>1</v>
      </c>
      <c r="D617" s="4" t="s">
        <v>1217</v>
      </c>
      <c r="E617" s="4" t="s">
        <v>1547</v>
      </c>
      <c r="F617" s="4">
        <v>4</v>
      </c>
    </row>
    <row r="618" spans="1:6" x14ac:dyDescent="0.45">
      <c r="A618" t="s">
        <v>1548</v>
      </c>
      <c r="B618" t="str">
        <f>_xlfn.REGEXREPLACE([1]query1!B618, "https://doi.org/", "")</f>
        <v>10.2139/ssrn.3634775</v>
      </c>
      <c r="C618">
        <v>1</v>
      </c>
      <c r="D618" s="4" t="s">
        <v>1101</v>
      </c>
      <c r="E618" s="4" t="s">
        <v>1549</v>
      </c>
      <c r="F618" s="4">
        <v>4</v>
      </c>
    </row>
    <row r="619" spans="1:6" x14ac:dyDescent="0.45">
      <c r="A619" t="s">
        <v>1550</v>
      </c>
      <c r="B619" t="str">
        <f>_xlfn.REGEXREPLACE([1]query1!B619, "https://doi.org/", "")</f>
        <v>10.2139/ssrn.3781858</v>
      </c>
      <c r="C619">
        <v>1</v>
      </c>
      <c r="D619" s="4" t="s">
        <v>1111</v>
      </c>
      <c r="E619" s="4" t="s">
        <v>1551</v>
      </c>
      <c r="F619" s="4">
        <v>4</v>
      </c>
    </row>
    <row r="620" spans="1:6" x14ac:dyDescent="0.45">
      <c r="A620" t="s">
        <v>1552</v>
      </c>
      <c r="B620" t="str">
        <f>_xlfn.REGEXREPLACE([1]query1!B620, "https://doi.org/", "")</f>
        <v>10.1007/978-3-031-06791-4_23</v>
      </c>
      <c r="C620">
        <v>1</v>
      </c>
      <c r="D620" s="4" t="s">
        <v>1553</v>
      </c>
      <c r="E620" s="4" t="s">
        <v>1554</v>
      </c>
      <c r="F620" s="4">
        <v>4</v>
      </c>
    </row>
    <row r="621" spans="1:6" x14ac:dyDescent="0.45">
      <c r="A621" t="s">
        <v>1555</v>
      </c>
      <c r="B621" t="str">
        <f>_xlfn.REGEXREPLACE([1]query1!B621, "https://doi.org/", "")</f>
        <v>10.5281/zenodo.7920587</v>
      </c>
      <c r="C621">
        <v>1</v>
      </c>
      <c r="D621" s="4" t="s">
        <v>1556</v>
      </c>
      <c r="E621" s="4" t="s">
        <v>1557</v>
      </c>
      <c r="F621" s="4">
        <v>4</v>
      </c>
    </row>
    <row r="622" spans="1:6" x14ac:dyDescent="0.45">
      <c r="A622" t="s">
        <v>1555</v>
      </c>
      <c r="B622" t="str">
        <f>_xlfn.REGEXREPLACE([1]query1!B622, "https://doi.org/", "")</f>
        <v>10.5281/zenodo.7920588</v>
      </c>
      <c r="C622">
        <v>1</v>
      </c>
      <c r="D622" s="4" t="s">
        <v>1558</v>
      </c>
      <c r="E622" s="4" t="s">
        <v>1559</v>
      </c>
      <c r="F622" s="4">
        <v>4</v>
      </c>
    </row>
    <row r="623" spans="1:6" x14ac:dyDescent="0.45">
      <c r="A623" t="s">
        <v>1560</v>
      </c>
      <c r="B623" t="str">
        <f>_xlfn.REGEXREPLACE([1]query1!B623, "https://doi.org/", "")</f>
        <v>10.22541/essoar.168500367.77673037/v1</v>
      </c>
      <c r="C623">
        <v>1</v>
      </c>
      <c r="D623" s="4" t="s">
        <v>1092</v>
      </c>
      <c r="E623" s="4" t="s">
        <v>1561</v>
      </c>
      <c r="F623" s="4">
        <v>4</v>
      </c>
    </row>
    <row r="624" spans="1:6" x14ac:dyDescent="0.45">
      <c r="A624" t="s">
        <v>1562</v>
      </c>
      <c r="B624" t="str">
        <f>_xlfn.REGEXREPLACE([1]query1!B624, "https://doi.org/", "")</f>
        <v>10.1115/jrc2021-58311</v>
      </c>
      <c r="C624">
        <v>1</v>
      </c>
      <c r="D624" s="4" t="s">
        <v>1563</v>
      </c>
      <c r="E624" s="4" t="s">
        <v>1564</v>
      </c>
      <c r="F624" s="4">
        <v>4</v>
      </c>
    </row>
    <row r="625" spans="1:6" x14ac:dyDescent="0.45">
      <c r="A625" t="s">
        <v>1565</v>
      </c>
      <c r="B625" t="str">
        <f>_xlfn.REGEXREPLACE([1]query1!B625, "https://doi.org/", "")</f>
        <v>10.1080/14763141.2022.2088401</v>
      </c>
      <c r="C625">
        <v>1</v>
      </c>
      <c r="D625" s="4" t="s">
        <v>563</v>
      </c>
      <c r="E625" s="4" t="s">
        <v>1566</v>
      </c>
      <c r="F625" s="4">
        <v>4</v>
      </c>
    </row>
    <row r="626" spans="1:6" x14ac:dyDescent="0.45">
      <c r="A626" t="s">
        <v>1567</v>
      </c>
      <c r="B626" t="str">
        <f>_xlfn.REGEXREPLACE([1]query1!B626, "https://doi.org/", "")</f>
        <v>10.1007/978-3-030-63089-8_6</v>
      </c>
      <c r="C626">
        <v>1</v>
      </c>
      <c r="D626" s="4" t="s">
        <v>1568</v>
      </c>
      <c r="E626" s="4" t="s">
        <v>1569</v>
      </c>
      <c r="F626" s="4">
        <v>3</v>
      </c>
    </row>
    <row r="627" spans="1:6" x14ac:dyDescent="0.45">
      <c r="A627" t="s">
        <v>1570</v>
      </c>
      <c r="B627" t="str">
        <f>_xlfn.REGEXREPLACE([1]query1!B627, "https://doi.org/", "")</f>
        <v>10.1149/ma2022-01412468mtgabs</v>
      </c>
      <c r="C627">
        <v>1</v>
      </c>
      <c r="D627" s="4" t="s">
        <v>1405</v>
      </c>
      <c r="E627" s="4" t="s">
        <v>1571</v>
      </c>
      <c r="F627" s="4">
        <v>3</v>
      </c>
    </row>
    <row r="628" spans="1:6" x14ac:dyDescent="0.45">
      <c r="A628" t="s">
        <v>1572</v>
      </c>
      <c r="B628" t="str">
        <f>_xlfn.REGEXREPLACE([1]query1!B628, "https://doi.org/", "")</f>
        <v>10.1007/s41669-024-00481-y</v>
      </c>
      <c r="C628">
        <v>1</v>
      </c>
      <c r="D628" s="4" t="s">
        <v>910</v>
      </c>
      <c r="E628" s="4" t="s">
        <v>1573</v>
      </c>
      <c r="F628" s="4">
        <v>3</v>
      </c>
    </row>
    <row r="629" spans="1:6" x14ac:dyDescent="0.45">
      <c r="A629" t="s">
        <v>1574</v>
      </c>
      <c r="B629" t="str">
        <f>_xlfn.REGEXREPLACE([1]query1!B629, "https://doi.org/", "")</f>
        <v>10.1016/j.nimb.2023.05.012</v>
      </c>
      <c r="C629">
        <v>1</v>
      </c>
      <c r="D629" s="4" t="s">
        <v>1575</v>
      </c>
      <c r="E629" s="4" t="s">
        <v>1576</v>
      </c>
      <c r="F629" s="4">
        <v>3</v>
      </c>
    </row>
    <row r="630" spans="1:6" x14ac:dyDescent="0.45">
      <c r="A630" t="s">
        <v>1577</v>
      </c>
      <c r="B630" t="str">
        <f>_xlfn.REGEXREPLACE([1]query1!B630, "https://doi.org/", "")</f>
        <v>10.1515/snde-2023-0028</v>
      </c>
      <c r="C630">
        <v>1</v>
      </c>
      <c r="D630" s="4" t="s">
        <v>1578</v>
      </c>
      <c r="E630" s="4" t="s">
        <v>1579</v>
      </c>
      <c r="F630" s="4">
        <v>3</v>
      </c>
    </row>
    <row r="631" spans="1:6" x14ac:dyDescent="0.45">
      <c r="A631" t="s">
        <v>1580</v>
      </c>
      <c r="B631" t="str">
        <f>_xlfn.REGEXREPLACE([1]query1!B631, "https://doi.org/", "")</f>
        <v>10.1016/j.jeconom.2024.105814</v>
      </c>
      <c r="C631">
        <v>1</v>
      </c>
      <c r="D631" s="4" t="s">
        <v>1581</v>
      </c>
      <c r="E631" s="4" t="s">
        <v>1582</v>
      </c>
      <c r="F631" s="4">
        <v>3</v>
      </c>
    </row>
    <row r="632" spans="1:6" x14ac:dyDescent="0.45">
      <c r="A632" t="s">
        <v>1583</v>
      </c>
      <c r="B632" t="str">
        <f>_xlfn.REGEXREPLACE([1]query1!B632, "https://doi.org/", "")</f>
        <v>10.5194/egusphere-2022-237</v>
      </c>
      <c r="C632">
        <v>1</v>
      </c>
      <c r="D632" s="4" t="s">
        <v>1400</v>
      </c>
      <c r="E632" s="4" t="s">
        <v>1584</v>
      </c>
      <c r="F632" s="4">
        <v>3</v>
      </c>
    </row>
    <row r="633" spans="1:6" x14ac:dyDescent="0.45">
      <c r="A633" t="s">
        <v>1585</v>
      </c>
      <c r="B633" t="str">
        <f>_xlfn.REGEXREPLACE([1]query1!B633, "https://doi.org/", "")</f>
        <v>10.1149/ma2022-02421569mtgabs</v>
      </c>
      <c r="C633">
        <v>1</v>
      </c>
      <c r="D633" s="4" t="s">
        <v>1586</v>
      </c>
      <c r="E633" s="4" t="s">
        <v>1587</v>
      </c>
      <c r="F633" s="4">
        <v>3</v>
      </c>
    </row>
    <row r="634" spans="1:6" x14ac:dyDescent="0.45">
      <c r="A634" t="s">
        <v>1588</v>
      </c>
      <c r="B634" t="str">
        <f>_xlfn.REGEXREPLACE([1]query1!B634, "https://doi.org/", "")</f>
        <v>10.3389/feduc.2024.1446941</v>
      </c>
      <c r="C634">
        <v>1</v>
      </c>
      <c r="D634" s="4" t="s">
        <v>986</v>
      </c>
      <c r="E634" s="4" t="s">
        <v>1589</v>
      </c>
      <c r="F634" s="4">
        <v>3</v>
      </c>
    </row>
    <row r="635" spans="1:6" x14ac:dyDescent="0.45">
      <c r="A635" t="s">
        <v>1148</v>
      </c>
      <c r="B635" t="str">
        <f>_xlfn.REGEXREPLACE([1]query1!B635, "https://doi.org/", "")</f>
        <v>10.1109/crv50864.2020.00017</v>
      </c>
      <c r="C635">
        <v>1</v>
      </c>
      <c r="D635" s="4" t="s">
        <v>1590</v>
      </c>
      <c r="E635" s="4" t="s">
        <v>1591</v>
      </c>
      <c r="F635" s="4">
        <v>3</v>
      </c>
    </row>
    <row r="636" spans="1:6" x14ac:dyDescent="0.45">
      <c r="A636" t="s">
        <v>1592</v>
      </c>
      <c r="B636" t="str">
        <f>_xlfn.REGEXREPLACE([1]query1!B636, "https://doi.org/", "")</f>
        <v>10.5194/tc-2021-359</v>
      </c>
      <c r="C636">
        <v>1</v>
      </c>
      <c r="D636" s="4" t="s">
        <v>1135</v>
      </c>
      <c r="E636" s="4" t="s">
        <v>1593</v>
      </c>
      <c r="F636" s="4">
        <v>3</v>
      </c>
    </row>
    <row r="637" spans="1:6" x14ac:dyDescent="0.45">
      <c r="A637" t="s">
        <v>1594</v>
      </c>
      <c r="B637" t="str">
        <f>_xlfn.REGEXREPLACE([1]query1!B637, "https://doi.org/", "")</f>
        <v>10.5465/ambpp.2022.152</v>
      </c>
      <c r="C637">
        <v>1</v>
      </c>
      <c r="D637" s="4" t="s">
        <v>1595</v>
      </c>
      <c r="E637" s="4" t="s">
        <v>1596</v>
      </c>
      <c r="F637" s="4">
        <v>3</v>
      </c>
    </row>
    <row r="638" spans="1:6" x14ac:dyDescent="0.45">
      <c r="A638" t="s">
        <v>1597</v>
      </c>
      <c r="B638" t="str">
        <f>_xlfn.REGEXREPLACE([1]query1!B638, "https://doi.org/", "")</f>
        <v>10.1080/25751654.2023.2219488</v>
      </c>
      <c r="C638">
        <v>1</v>
      </c>
      <c r="D638" s="4" t="s">
        <v>1213</v>
      </c>
      <c r="E638" s="4" t="s">
        <v>1598</v>
      </c>
      <c r="F638" s="4">
        <v>3</v>
      </c>
    </row>
    <row r="639" spans="1:6" x14ac:dyDescent="0.45">
      <c r="A639" t="s">
        <v>1599</v>
      </c>
      <c r="B639" t="str">
        <f>_xlfn.REGEXREPLACE([1]query1!B639, "https://doi.org/", "")</f>
        <v>10.1109/embc53108.2024.10782799</v>
      </c>
      <c r="C639">
        <v>1</v>
      </c>
      <c r="D639" s="4" t="s">
        <v>1138</v>
      </c>
      <c r="E639" s="4" t="s">
        <v>1600</v>
      </c>
      <c r="F639" s="4">
        <v>3</v>
      </c>
    </row>
    <row r="640" spans="1:6" x14ac:dyDescent="0.45">
      <c r="A640" t="s">
        <v>1601</v>
      </c>
      <c r="B640" t="str">
        <f>_xlfn.REGEXREPLACE([1]query1!B640, "https://doi.org/", "")</f>
        <v>10.1155/2022/2267107</v>
      </c>
      <c r="C640">
        <v>1</v>
      </c>
      <c r="D640" s="4" t="s">
        <v>1602</v>
      </c>
      <c r="E640" s="4" t="s">
        <v>1603</v>
      </c>
      <c r="F640" s="4">
        <v>3</v>
      </c>
    </row>
    <row r="641" spans="1:6" x14ac:dyDescent="0.45">
      <c r="A641" t="s">
        <v>1604</v>
      </c>
      <c r="B641" t="str">
        <f>_xlfn.REGEXREPLACE([1]query1!B641, "https://doi.org/", "")</f>
        <v>10.31235/osf.io/d9bv2</v>
      </c>
      <c r="C641">
        <v>1</v>
      </c>
      <c r="D641" s="4" t="s">
        <v>1605</v>
      </c>
      <c r="E641" s="4" t="s">
        <v>1606</v>
      </c>
      <c r="F641" s="4">
        <v>3</v>
      </c>
    </row>
    <row r="642" spans="1:6" x14ac:dyDescent="0.45">
      <c r="A642" t="s">
        <v>1607</v>
      </c>
      <c r="B642" t="str">
        <f>_xlfn.REGEXREPLACE([1]query1!B642, "https://doi.org/", "")</f>
        <v>10.1007/978-3-030-55190-2_26</v>
      </c>
      <c r="C642">
        <v>1</v>
      </c>
      <c r="D642" s="4" t="s">
        <v>1119</v>
      </c>
      <c r="E642" s="4" t="s">
        <v>1608</v>
      </c>
      <c r="F642" s="4">
        <v>3</v>
      </c>
    </row>
    <row r="643" spans="1:6" x14ac:dyDescent="0.45">
      <c r="A643" t="s">
        <v>1609</v>
      </c>
      <c r="B643" t="str">
        <f>_xlfn.REGEXREPLACE([1]query1!B643, "https://doi.org/", "")</f>
        <v>10.18260/1-2--20410</v>
      </c>
      <c r="C643">
        <v>1</v>
      </c>
      <c r="D643" s="4" t="s">
        <v>945</v>
      </c>
      <c r="E643" s="4" t="s">
        <v>1610</v>
      </c>
      <c r="F643" s="4">
        <v>3</v>
      </c>
    </row>
    <row r="644" spans="1:6" x14ac:dyDescent="0.45">
      <c r="A644" t="s">
        <v>1611</v>
      </c>
      <c r="B644" t="str">
        <f>_xlfn.REGEXREPLACE([1]query1!B644, "https://doi.org/", "")</f>
        <v>10.1109/jsen.2020.3029433</v>
      </c>
      <c r="C644">
        <v>1</v>
      </c>
      <c r="D644" s="4" t="s">
        <v>1177</v>
      </c>
      <c r="E644" s="4" t="s">
        <v>1612</v>
      </c>
      <c r="F644" s="4">
        <v>3</v>
      </c>
    </row>
    <row r="645" spans="1:6" x14ac:dyDescent="0.45">
      <c r="A645" t="s">
        <v>1613</v>
      </c>
      <c r="B645" t="str">
        <f>_xlfn.REGEXREPLACE([1]query1!B645, "https://doi.org/", "")</f>
        <v>10.1109/cdc45484.2021.9683031</v>
      </c>
      <c r="C645">
        <v>1</v>
      </c>
      <c r="D645" s="4" t="s">
        <v>1222</v>
      </c>
      <c r="E645" s="4" t="s">
        <v>1614</v>
      </c>
      <c r="F645" s="4">
        <v>3</v>
      </c>
    </row>
    <row r="646" spans="1:6" x14ac:dyDescent="0.45">
      <c r="A646" t="s">
        <v>1615</v>
      </c>
      <c r="B646" t="str">
        <f>_xlfn.REGEXREPLACE([1]query1!B646, "https://doi.org/", "")</f>
        <v>10.1109/igarss47720.2021.9553861</v>
      </c>
      <c r="C646">
        <v>1</v>
      </c>
      <c r="D646" s="4" t="s">
        <v>1616</v>
      </c>
      <c r="E646" s="4" t="s">
        <v>1617</v>
      </c>
      <c r="F646" s="4">
        <v>3</v>
      </c>
    </row>
    <row r="647" spans="1:6" x14ac:dyDescent="0.45">
      <c r="A647" t="s">
        <v>1618</v>
      </c>
      <c r="B647" t="str">
        <f>_xlfn.REGEXREPLACE([1]query1!B647, "https://doi.org/", "")</f>
        <v>10.1109/iros58592.2024.10802068</v>
      </c>
      <c r="C647">
        <v>1</v>
      </c>
      <c r="D647" s="4" t="s">
        <v>1481</v>
      </c>
      <c r="E647" s="4" t="s">
        <v>1619</v>
      </c>
      <c r="F647" s="4">
        <v>3</v>
      </c>
    </row>
    <row r="648" spans="1:6" x14ac:dyDescent="0.45">
      <c r="A648" t="s">
        <v>1620</v>
      </c>
      <c r="B648" t="str">
        <f>_xlfn.REGEXREPLACE([1]query1!B648, "https://doi.org/", "")</f>
        <v>10.5281/zenodo.4641434</v>
      </c>
      <c r="C648">
        <v>1</v>
      </c>
      <c r="D648" s="4" t="s">
        <v>1414</v>
      </c>
      <c r="E648" s="4" t="s">
        <v>1621</v>
      </c>
      <c r="F648" s="4">
        <v>3</v>
      </c>
    </row>
    <row r="649" spans="1:6" x14ac:dyDescent="0.45">
      <c r="A649" t="s">
        <v>1622</v>
      </c>
      <c r="B649" t="str">
        <f>_xlfn.REGEXREPLACE([1]query1!B649, "https://doi.org/", "")</f>
        <v>10.1115/detc2023-114997</v>
      </c>
      <c r="C649">
        <v>1</v>
      </c>
      <c r="D649" s="4" t="s">
        <v>1623</v>
      </c>
      <c r="E649" s="4" t="s">
        <v>1624</v>
      </c>
      <c r="F649" s="4">
        <v>3</v>
      </c>
    </row>
    <row r="650" spans="1:6" x14ac:dyDescent="0.45">
      <c r="A650" t="s">
        <v>1625</v>
      </c>
      <c r="B650" t="str">
        <f>_xlfn.REGEXREPLACE([1]query1!B650, "https://doi.org/", "")</f>
        <v>10.1007/978-3-030-89906-6_35</v>
      </c>
      <c r="C650">
        <v>1</v>
      </c>
      <c r="D650" s="4" t="s">
        <v>1116</v>
      </c>
      <c r="E650" s="4" t="s">
        <v>1626</v>
      </c>
      <c r="F650" s="4">
        <v>3</v>
      </c>
    </row>
    <row r="651" spans="1:6" x14ac:dyDescent="0.45">
      <c r="A651" t="s">
        <v>1627</v>
      </c>
      <c r="B651" t="str">
        <f>_xlfn.REGEXREPLACE([1]query1!B651, "https://doi.org/", "")</f>
        <v>10.1145/3606037.3606840</v>
      </c>
      <c r="C651">
        <v>1</v>
      </c>
      <c r="D651" s="4" t="s">
        <v>1475</v>
      </c>
      <c r="E651" s="4" t="s">
        <v>1628</v>
      </c>
      <c r="F651" s="4">
        <v>3</v>
      </c>
    </row>
    <row r="652" spans="1:6" x14ac:dyDescent="0.45">
      <c r="A652" t="s">
        <v>1629</v>
      </c>
      <c r="B652" t="str">
        <f>_xlfn.REGEXREPLACE([1]query1!B652, "https://doi.org/", "")</f>
        <v>10.1016/b978-0-323-99450-7.00007-1</v>
      </c>
      <c r="C652">
        <v>1</v>
      </c>
      <c r="D652" s="4" t="s">
        <v>1325</v>
      </c>
      <c r="E652" s="4" t="s">
        <v>1630</v>
      </c>
      <c r="F652" s="4">
        <v>3</v>
      </c>
    </row>
    <row r="653" spans="1:6" x14ac:dyDescent="0.45">
      <c r="A653" t="s">
        <v>1631</v>
      </c>
      <c r="B653" t="str">
        <f>_xlfn.REGEXREPLACE([1]query1!B653, "https://doi.org/", "")</f>
        <v>10.1149/ma2020-02332101mtgabs</v>
      </c>
      <c r="C653">
        <v>1</v>
      </c>
      <c r="D653" s="4" t="s">
        <v>1632</v>
      </c>
      <c r="E653" s="4" t="s">
        <v>1633</v>
      </c>
      <c r="F653" s="4">
        <v>3</v>
      </c>
    </row>
    <row r="654" spans="1:6" x14ac:dyDescent="0.45">
      <c r="A654" t="s">
        <v>1634</v>
      </c>
      <c r="B654" t="str">
        <f>_xlfn.REGEXREPLACE([1]query1!B654, "https://doi.org/", "")</f>
        <v>10.1016/j.rico.2023.100203</v>
      </c>
      <c r="C654">
        <v>1</v>
      </c>
      <c r="D654" s="4" t="s">
        <v>1126</v>
      </c>
      <c r="E654" s="4" t="s">
        <v>1635</v>
      </c>
      <c r="F654" s="4">
        <v>3</v>
      </c>
    </row>
    <row r="655" spans="1:6" x14ac:dyDescent="0.45">
      <c r="A655" t="s">
        <v>1636</v>
      </c>
      <c r="B655" t="str">
        <f>_xlfn.REGEXREPLACE([1]query1!B655, "https://doi.org/", "")</f>
        <v>10.1109/tpel.2024.3377685</v>
      </c>
      <c r="C655">
        <v>1</v>
      </c>
      <c r="D655" s="4" t="s">
        <v>1198</v>
      </c>
      <c r="E655" s="4" t="s">
        <v>1637</v>
      </c>
      <c r="F655" s="4">
        <v>3</v>
      </c>
    </row>
    <row r="656" spans="1:6" x14ac:dyDescent="0.45">
      <c r="A656" t="s">
        <v>1638</v>
      </c>
      <c r="B656" t="str">
        <f>_xlfn.REGEXREPLACE([1]query1!B656, "https://doi.org/", "")</f>
        <v>10.1088/1748-0221/16/01/p01010</v>
      </c>
      <c r="C656">
        <v>1</v>
      </c>
      <c r="D656" s="4" t="s">
        <v>1327</v>
      </c>
      <c r="E656" s="4" t="s">
        <v>1639</v>
      </c>
      <c r="F656" s="4">
        <v>3</v>
      </c>
    </row>
    <row r="657" spans="1:6" x14ac:dyDescent="0.45">
      <c r="A657" t="s">
        <v>1640</v>
      </c>
      <c r="B657" t="str">
        <f>_xlfn.REGEXREPLACE([1]query1!B657, "https://doi.org/", "")</f>
        <v>10.1109/sege59172.2023.10274584</v>
      </c>
      <c r="C657">
        <v>1</v>
      </c>
      <c r="D657" s="4" t="s">
        <v>1280</v>
      </c>
      <c r="E657" s="4" t="s">
        <v>1641</v>
      </c>
      <c r="F657" s="4">
        <v>3</v>
      </c>
    </row>
    <row r="658" spans="1:6" x14ac:dyDescent="0.45">
      <c r="A658" t="s">
        <v>1642</v>
      </c>
      <c r="B658" t="str">
        <f>_xlfn.REGEXREPLACE([1]query1!B658, "https://doi.org/", "")</f>
        <v>10.1109/jiot.2024.3514457</v>
      </c>
      <c r="C658">
        <v>1</v>
      </c>
      <c r="D658" s="4" t="s">
        <v>1643</v>
      </c>
      <c r="E658" s="4" t="s">
        <v>1644</v>
      </c>
      <c r="F658" s="4">
        <v>3</v>
      </c>
    </row>
    <row r="659" spans="1:6" x14ac:dyDescent="0.45">
      <c r="A659" t="s">
        <v>1645</v>
      </c>
      <c r="B659" t="str">
        <f>_xlfn.REGEXREPLACE([1]query1!B659, "https://doi.org/", "")</f>
        <v>10.2139/ssrn.4432932</v>
      </c>
      <c r="C659">
        <v>1</v>
      </c>
      <c r="D659" s="4" t="s">
        <v>1005</v>
      </c>
      <c r="E659" s="4" t="s">
        <v>1646</v>
      </c>
      <c r="F659" s="4">
        <v>3</v>
      </c>
    </row>
    <row r="660" spans="1:6" x14ac:dyDescent="0.45">
      <c r="A660" t="s">
        <v>1647</v>
      </c>
      <c r="B660" t="str">
        <f>_xlfn.REGEXREPLACE([1]query1!B660, "https://doi.org/", "")</f>
        <v>10.1109/isie45063.2020.9152226</v>
      </c>
      <c r="C660">
        <v>1</v>
      </c>
      <c r="D660" s="4" t="s">
        <v>1408</v>
      </c>
      <c r="E660" s="4" t="s">
        <v>1648</v>
      </c>
      <c r="F660" s="4">
        <v>3</v>
      </c>
    </row>
    <row r="661" spans="1:6" x14ac:dyDescent="0.45">
      <c r="A661" t="s">
        <v>1649</v>
      </c>
      <c r="B661" t="str">
        <f>_xlfn.REGEXREPLACE([1]query1!B661, "https://doi.org/", "")</f>
        <v>10.23919/ursigass51995.2021.9560196</v>
      </c>
      <c r="C661">
        <v>1</v>
      </c>
      <c r="D661" s="4" t="s">
        <v>1650</v>
      </c>
      <c r="E661" s="4"/>
      <c r="F661" s="4">
        <v>3</v>
      </c>
    </row>
    <row r="662" spans="1:6" x14ac:dyDescent="0.45">
      <c r="A662" t="s">
        <v>1651</v>
      </c>
      <c r="B662" t="str">
        <f>_xlfn.REGEXREPLACE([1]query1!B662, "https://doi.org/", "")</f>
        <v>10.1109/ieeeconf35879.2020.9329819</v>
      </c>
      <c r="C662">
        <v>1</v>
      </c>
      <c r="D662" s="4" t="s">
        <v>1014</v>
      </c>
      <c r="E662" s="4" t="s">
        <v>1652</v>
      </c>
      <c r="F662" s="4">
        <v>3</v>
      </c>
    </row>
    <row r="663" spans="1:6" x14ac:dyDescent="0.45">
      <c r="A663" t="s">
        <v>1653</v>
      </c>
      <c r="B663" t="str">
        <f>_xlfn.REGEXREPLACE([1]query1!B663, "https://doi.org/", "")</f>
        <v>10.7910/dvn/iitph8</v>
      </c>
      <c r="C663">
        <v>1</v>
      </c>
      <c r="D663" s="4" t="s">
        <v>1308</v>
      </c>
      <c r="E663" s="4" t="s">
        <v>1654</v>
      </c>
      <c r="F663" s="4">
        <v>3</v>
      </c>
    </row>
    <row r="664" spans="1:6" x14ac:dyDescent="0.45">
      <c r="A664" t="s">
        <v>1655</v>
      </c>
      <c r="B664" t="str">
        <f>_xlfn.REGEXREPLACE([1]query1!B664, "https://doi.org/", "")</f>
        <v>10.21203/rs.3.rs-2163839/v1</v>
      </c>
      <c r="C664">
        <v>1</v>
      </c>
      <c r="D664" s="4" t="s">
        <v>1656</v>
      </c>
      <c r="E664" s="4" t="s">
        <v>1657</v>
      </c>
      <c r="F664" s="4">
        <v>3</v>
      </c>
    </row>
    <row r="665" spans="1:6" x14ac:dyDescent="0.45">
      <c r="A665" t="s">
        <v>1658</v>
      </c>
      <c r="B665" t="str">
        <f>_xlfn.REGEXREPLACE([1]query1!B665, "https://doi.org/", "")</f>
        <v>10.1007/s11222-020-09941-x</v>
      </c>
      <c r="C665">
        <v>1</v>
      </c>
      <c r="D665" s="4" t="s">
        <v>1659</v>
      </c>
      <c r="E665" s="4" t="s">
        <v>1660</v>
      </c>
      <c r="F665" s="4">
        <v>3</v>
      </c>
    </row>
    <row r="666" spans="1:6" x14ac:dyDescent="0.45">
      <c r="A666" t="s">
        <v>864</v>
      </c>
      <c r="B666" t="str">
        <f>_xlfn.REGEXREPLACE([1]query1!B666, "https://doi.org/", "")</f>
        <v>10.1209/0295-5075/ac765d</v>
      </c>
      <c r="C666">
        <v>1</v>
      </c>
      <c r="D666" s="4" t="s">
        <v>1185</v>
      </c>
      <c r="E666" s="4" t="s">
        <v>1661</v>
      </c>
      <c r="F666" s="4">
        <v>3</v>
      </c>
    </row>
    <row r="667" spans="1:6" x14ac:dyDescent="0.45">
      <c r="A667" t="s">
        <v>1662</v>
      </c>
      <c r="B667" t="str">
        <f>_xlfn.REGEXREPLACE([1]query1!B667, "https://doi.org/", "")</f>
        <v>10.1007/s11222-024-10546-x</v>
      </c>
      <c r="C667">
        <v>1</v>
      </c>
      <c r="D667" s="4" t="s">
        <v>1150</v>
      </c>
      <c r="E667" s="4" t="s">
        <v>1663</v>
      </c>
      <c r="F667" s="4">
        <v>3</v>
      </c>
    </row>
    <row r="668" spans="1:6" x14ac:dyDescent="0.45">
      <c r="A668" t="s">
        <v>1664</v>
      </c>
      <c r="B668" t="str">
        <f>_xlfn.REGEXREPLACE([1]query1!B668, "https://doi.org/", "")</f>
        <v>10.1007/s13253-024-00618-w</v>
      </c>
      <c r="C668">
        <v>1</v>
      </c>
      <c r="D668" s="4" t="s">
        <v>1297</v>
      </c>
      <c r="E668" s="4" t="s">
        <v>1665</v>
      </c>
      <c r="F668" s="4">
        <v>3</v>
      </c>
    </row>
    <row r="669" spans="1:6" x14ac:dyDescent="0.45">
      <c r="A669" t="s">
        <v>1666</v>
      </c>
      <c r="B669" t="str">
        <f>_xlfn.REGEXREPLACE([1]query1!B669, "https://doi.org/", "")</f>
        <v>10.1109/globecom52923.2024.10901333</v>
      </c>
      <c r="C669">
        <v>1</v>
      </c>
      <c r="D669" s="4" t="s">
        <v>1667</v>
      </c>
      <c r="E669" s="4" t="s">
        <v>1668</v>
      </c>
      <c r="F669" s="4">
        <v>3</v>
      </c>
    </row>
    <row r="670" spans="1:6" x14ac:dyDescent="0.45">
      <c r="A670" t="s">
        <v>1669</v>
      </c>
      <c r="B670" t="str">
        <f>_xlfn.REGEXREPLACE([1]query1!B670, "https://doi.org/", "")</f>
        <v>10.1080/03461238.2023.2234914</v>
      </c>
      <c r="C670">
        <v>1</v>
      </c>
      <c r="D670" s="4" t="s">
        <v>1439</v>
      </c>
      <c r="E670" s="4" t="s">
        <v>1670</v>
      </c>
      <c r="F670" s="4">
        <v>3</v>
      </c>
    </row>
    <row r="671" spans="1:6" x14ac:dyDescent="0.45">
      <c r="A671" t="s">
        <v>1671</v>
      </c>
      <c r="B671" t="str">
        <f>_xlfn.REGEXREPLACE([1]query1!B671, "https://doi.org/", "")</f>
        <v>10.1080/03610918.2022.2155313</v>
      </c>
      <c r="C671">
        <v>1</v>
      </c>
      <c r="D671" s="4" t="s">
        <v>1672</v>
      </c>
      <c r="E671" s="4"/>
      <c r="F671" s="4">
        <v>3</v>
      </c>
    </row>
    <row r="672" spans="1:6" x14ac:dyDescent="0.45">
      <c r="A672" t="s">
        <v>1673</v>
      </c>
      <c r="B672" t="str">
        <f>_xlfn.REGEXREPLACE([1]query1!B672, "https://doi.org/", "")</f>
        <v>10.3390/vibration6020020</v>
      </c>
      <c r="C672">
        <v>1</v>
      </c>
      <c r="D672" s="4" t="s">
        <v>1674</v>
      </c>
      <c r="E672" s="4" t="s">
        <v>1675</v>
      </c>
      <c r="F672" s="4">
        <v>3</v>
      </c>
    </row>
    <row r="673" spans="1:6" x14ac:dyDescent="0.45">
      <c r="A673" t="s">
        <v>1676</v>
      </c>
      <c r="B673" t="str">
        <f>_xlfn.REGEXREPLACE([1]query1!B673, "https://doi.org/", "")</f>
        <v>10.1002/cjs.11550</v>
      </c>
      <c r="C673">
        <v>1</v>
      </c>
      <c r="D673" s="4" t="s">
        <v>1677</v>
      </c>
      <c r="E673" s="4" t="s">
        <v>1678</v>
      </c>
      <c r="F673" s="4">
        <v>3</v>
      </c>
    </row>
    <row r="674" spans="1:6" x14ac:dyDescent="0.45">
      <c r="A674" t="s">
        <v>1679</v>
      </c>
      <c r="B674" t="str">
        <f>_xlfn.REGEXREPLACE([1]query1!B674, "https://doi.org/", "")</f>
        <v>10.1109/iecon43393.2020.9254647</v>
      </c>
      <c r="C674">
        <v>1</v>
      </c>
      <c r="D674" s="4" t="s">
        <v>1680</v>
      </c>
      <c r="E674" s="4" t="s">
        <v>1681</v>
      </c>
      <c r="F674" s="4">
        <v>3</v>
      </c>
    </row>
    <row r="675" spans="1:6" x14ac:dyDescent="0.45">
      <c r="A675" t="s">
        <v>1682</v>
      </c>
      <c r="B675" t="str">
        <f>_xlfn.REGEXREPLACE([1]query1!B675, "https://doi.org/", "")</f>
        <v>10.1109/ccece59415.2024.10667220</v>
      </c>
      <c r="C675">
        <v>1</v>
      </c>
      <c r="D675" s="4" t="s">
        <v>1683</v>
      </c>
      <c r="E675" s="4" t="s">
        <v>1684</v>
      </c>
      <c r="F675" s="4">
        <v>3</v>
      </c>
    </row>
    <row r="676" spans="1:6" x14ac:dyDescent="0.45">
      <c r="A676" t="s">
        <v>1685</v>
      </c>
      <c r="B676" t="str">
        <f>_xlfn.REGEXREPLACE([1]query1!B676, "https://doi.org/", "")</f>
        <v>10.1016/j.jedc.2024.104840</v>
      </c>
      <c r="C676">
        <v>1</v>
      </c>
      <c r="D676" s="4" t="s">
        <v>1686</v>
      </c>
      <c r="E676" s="4" t="s">
        <v>1687</v>
      </c>
      <c r="F676" s="4">
        <v>3</v>
      </c>
    </row>
    <row r="677" spans="1:6" x14ac:dyDescent="0.45">
      <c r="A677" t="s">
        <v>1688</v>
      </c>
      <c r="B677" t="str">
        <f>_xlfn.REGEXREPLACE([1]query1!B677, "https://doi.org/", "")</f>
        <v>10.48550/arxiv.2105.00371</v>
      </c>
      <c r="C677">
        <v>1</v>
      </c>
      <c r="D677" s="4" t="s">
        <v>1522</v>
      </c>
      <c r="E677" s="4" t="s">
        <v>1689</v>
      </c>
      <c r="F677" s="4">
        <v>3</v>
      </c>
    </row>
    <row r="678" spans="1:6" x14ac:dyDescent="0.45">
      <c r="A678" t="s">
        <v>1690</v>
      </c>
      <c r="B678" t="str">
        <f>_xlfn.REGEXREPLACE([1]query1!B678, "https://doi.org/", "")</f>
        <v>10.1109/lsens.2024.3509373</v>
      </c>
      <c r="C678">
        <v>1</v>
      </c>
      <c r="D678" s="4" t="s">
        <v>1691</v>
      </c>
      <c r="E678" s="4" t="s">
        <v>1692</v>
      </c>
      <c r="F678" s="4">
        <v>3</v>
      </c>
    </row>
    <row r="679" spans="1:6" x14ac:dyDescent="0.45">
      <c r="A679" t="s">
        <v>1693</v>
      </c>
      <c r="B679" t="str">
        <f>_xlfn.REGEXREPLACE([1]query1!B679, "https://doi.org/", "")</f>
        <v>10.1109/iccworkshops59551.2024.10615442</v>
      </c>
      <c r="C679">
        <v>1</v>
      </c>
      <c r="D679" s="4" t="s">
        <v>1694</v>
      </c>
      <c r="E679" s="4" t="s">
        <v>1695</v>
      </c>
      <c r="F679" s="4">
        <v>3</v>
      </c>
    </row>
    <row r="680" spans="1:6" x14ac:dyDescent="0.45">
      <c r="A680" t="s">
        <v>1696</v>
      </c>
      <c r="B680" t="str">
        <f>_xlfn.REGEXREPLACE([1]query1!B680, "https://doi.org/", "")</f>
        <v>10.1016/j.comnet.2021.107875</v>
      </c>
      <c r="C680">
        <v>1</v>
      </c>
      <c r="D680" s="4" t="s">
        <v>1442</v>
      </c>
      <c r="E680" s="4" t="s">
        <v>1697</v>
      </c>
      <c r="F680" s="4">
        <v>3</v>
      </c>
    </row>
    <row r="681" spans="1:6" x14ac:dyDescent="0.45">
      <c r="A681" t="s">
        <v>1616</v>
      </c>
      <c r="B681" t="str">
        <f>_xlfn.REGEXREPLACE([1]query1!B681, "https://doi.org/", "")</f>
        <v>10.1109/fcn60432.2023.10543699</v>
      </c>
      <c r="C681">
        <v>1</v>
      </c>
      <c r="D681" s="4" t="s">
        <v>1275</v>
      </c>
      <c r="E681" s="4" t="s">
        <v>1698</v>
      </c>
      <c r="F681" s="4">
        <v>3</v>
      </c>
    </row>
    <row r="682" spans="1:6" x14ac:dyDescent="0.45">
      <c r="A682" t="s">
        <v>1699</v>
      </c>
      <c r="B682" t="str">
        <f>_xlfn.REGEXREPLACE([1]query1!B682, "https://doi.org/", "")</f>
        <v>10.1080/07474938.2024.2334166</v>
      </c>
      <c r="C682">
        <v>1</v>
      </c>
      <c r="D682" s="4" t="s">
        <v>1700</v>
      </c>
      <c r="E682" s="4" t="s">
        <v>1701</v>
      </c>
      <c r="F682" s="4">
        <v>3</v>
      </c>
    </row>
    <row r="683" spans="1:6" x14ac:dyDescent="0.45">
      <c r="A683" t="s">
        <v>1702</v>
      </c>
      <c r="B683" t="str">
        <f>_xlfn.REGEXREPLACE([1]query1!B683, "https://doi.org/", "")</f>
        <v>10.1007/978-3-031-18461-1_32</v>
      </c>
      <c r="C683">
        <v>1</v>
      </c>
      <c r="D683" s="4" t="s">
        <v>1262</v>
      </c>
      <c r="E683" s="4" t="s">
        <v>1703</v>
      </c>
      <c r="F683" s="4">
        <v>3</v>
      </c>
    </row>
    <row r="684" spans="1:6" x14ac:dyDescent="0.45">
      <c r="A684" t="s">
        <v>1704</v>
      </c>
      <c r="B684" t="str">
        <f>_xlfn.REGEXREPLACE([1]query1!B684, "https://doi.org/", "")</f>
        <v>10.1109/iwqos61813.2024.10682947</v>
      </c>
      <c r="C684">
        <v>1</v>
      </c>
      <c r="D684" s="4" t="s">
        <v>1705</v>
      </c>
      <c r="E684" s="4" t="s">
        <v>1706</v>
      </c>
      <c r="F684" s="4">
        <v>3</v>
      </c>
    </row>
    <row r="685" spans="1:6" x14ac:dyDescent="0.45">
      <c r="A685" t="s">
        <v>1707</v>
      </c>
      <c r="B685" t="str">
        <f>_xlfn.REGEXREPLACE([1]query1!B685, "https://doi.org/", "")</f>
        <v>10.1139/cjc-2023-0232</v>
      </c>
      <c r="C685">
        <v>1</v>
      </c>
      <c r="D685" s="4" t="s">
        <v>1708</v>
      </c>
      <c r="E685" s="4"/>
      <c r="F685" s="4">
        <v>3</v>
      </c>
    </row>
    <row r="686" spans="1:6" x14ac:dyDescent="0.45">
      <c r="A686" t="s">
        <v>1709</v>
      </c>
      <c r="B686" t="str">
        <f>_xlfn.REGEXREPLACE([1]query1!B686, "https://doi.org/", "")</f>
        <v>10.1109/iwcmc61514.2024.10592432</v>
      </c>
      <c r="C686">
        <v>1</v>
      </c>
      <c r="D686" s="4" t="s">
        <v>1435</v>
      </c>
      <c r="E686" s="4" t="s">
        <v>1710</v>
      </c>
      <c r="F686" s="4">
        <v>2</v>
      </c>
    </row>
    <row r="687" spans="1:6" x14ac:dyDescent="0.45">
      <c r="A687" t="s">
        <v>1711</v>
      </c>
      <c r="B687" t="str">
        <f>_xlfn.REGEXREPLACE([1]query1!B687, "https://doi.org/", "")</f>
        <v>10.1101/2021.02.12.430986</v>
      </c>
      <c r="C687">
        <v>1</v>
      </c>
      <c r="D687" s="4" t="s">
        <v>892</v>
      </c>
      <c r="E687" s="4" t="s">
        <v>1712</v>
      </c>
      <c r="F687" s="4">
        <v>2</v>
      </c>
    </row>
    <row r="688" spans="1:6" x14ac:dyDescent="0.45">
      <c r="A688" t="s">
        <v>1713</v>
      </c>
      <c r="B688" t="str">
        <f>_xlfn.REGEXREPLACE([1]query1!B688, "https://doi.org/", "")</f>
        <v>10.1109/infocom52122.2024.10621352</v>
      </c>
      <c r="C688">
        <v>1</v>
      </c>
      <c r="D688" s="4" t="s">
        <v>1714</v>
      </c>
      <c r="E688" s="4" t="s">
        <v>1715</v>
      </c>
      <c r="F688" s="4">
        <v>2</v>
      </c>
    </row>
    <row r="689" spans="1:6" x14ac:dyDescent="0.45">
      <c r="A689" t="s">
        <v>525</v>
      </c>
      <c r="B689" t="str">
        <f>_xlfn.REGEXREPLACE([1]query1!B689, "https://doi.org/", "")</f>
        <v>10.2139/ssrn.3946518</v>
      </c>
      <c r="C689">
        <v>1</v>
      </c>
      <c r="D689" s="4" t="s">
        <v>1381</v>
      </c>
      <c r="E689" s="4" t="s">
        <v>1716</v>
      </c>
      <c r="F689" s="4">
        <v>2</v>
      </c>
    </row>
    <row r="690" spans="1:6" x14ac:dyDescent="0.45">
      <c r="A690" t="s">
        <v>1717</v>
      </c>
      <c r="B690" t="str">
        <f>_xlfn.REGEXREPLACE([1]query1!B690, "https://doi.org/", "")</f>
        <v>10.1109/sdemped54949.2023.10271449</v>
      </c>
      <c r="C690">
        <v>1</v>
      </c>
      <c r="D690" s="4" t="s">
        <v>1264</v>
      </c>
      <c r="E690" s="4" t="s">
        <v>1718</v>
      </c>
      <c r="F690" s="4">
        <v>2</v>
      </c>
    </row>
    <row r="691" spans="1:6" x14ac:dyDescent="0.45">
      <c r="A691" t="s">
        <v>1719</v>
      </c>
      <c r="B691" t="str">
        <f>_xlfn.REGEXREPLACE([1]query1!B691, "https://doi.org/", "")</f>
        <v>10.1038/s41467-022-31381-6</v>
      </c>
      <c r="C691">
        <v>1</v>
      </c>
      <c r="D691" s="4" t="s">
        <v>1243</v>
      </c>
      <c r="E691" s="4" t="s">
        <v>1720</v>
      </c>
      <c r="F691" s="4">
        <v>2</v>
      </c>
    </row>
    <row r="692" spans="1:6" x14ac:dyDescent="0.45">
      <c r="A692" t="s">
        <v>1721</v>
      </c>
      <c r="B692" t="str">
        <f>_xlfn.REGEXREPLACE([1]query1!B692, "https://doi.org/", "")</f>
        <v>10.5194/gmd-2019-373-supplement</v>
      </c>
      <c r="C692">
        <v>1</v>
      </c>
      <c r="D692" s="4" t="s">
        <v>1472</v>
      </c>
      <c r="E692" s="4" t="s">
        <v>1722</v>
      </c>
      <c r="F692" s="4">
        <v>2</v>
      </c>
    </row>
    <row r="693" spans="1:6" x14ac:dyDescent="0.45">
      <c r="A693" t="s">
        <v>1723</v>
      </c>
      <c r="B693" t="str">
        <f>_xlfn.REGEXREPLACE([1]query1!B693, "https://doi.org/", "")</f>
        <v>10.5194/egusphere-2024-2418</v>
      </c>
      <c r="C693">
        <v>1</v>
      </c>
      <c r="D693" s="4" t="s">
        <v>1724</v>
      </c>
      <c r="E693" s="4" t="s">
        <v>1725</v>
      </c>
      <c r="F693" s="4">
        <v>2</v>
      </c>
    </row>
    <row r="694" spans="1:6" x14ac:dyDescent="0.45">
      <c r="A694" t="s">
        <v>1726</v>
      </c>
      <c r="B694" t="str">
        <f>_xlfn.REGEXREPLACE([1]query1!B694, "https://doi.org/", "")</f>
        <v>10.1109/satellite59115.2023.00017</v>
      </c>
      <c r="C694">
        <v>1</v>
      </c>
      <c r="D694" s="4" t="s">
        <v>1420</v>
      </c>
      <c r="E694" s="4" t="s">
        <v>1727</v>
      </c>
      <c r="F694" s="4">
        <v>2</v>
      </c>
    </row>
    <row r="695" spans="1:6" x14ac:dyDescent="0.45">
      <c r="A695" t="s">
        <v>1728</v>
      </c>
      <c r="B695" t="str">
        <f>_xlfn.REGEXREPLACE([1]query1!B695, "https://doi.org/", "")</f>
        <v>10.1109/case59546.2024.10711838</v>
      </c>
      <c r="C695">
        <v>1</v>
      </c>
      <c r="D695" s="4" t="s">
        <v>1162</v>
      </c>
      <c r="E695" s="4" t="s">
        <v>1729</v>
      </c>
      <c r="F695" s="4">
        <v>2</v>
      </c>
    </row>
    <row r="696" spans="1:6" x14ac:dyDescent="0.45">
      <c r="A696" t="s">
        <v>349</v>
      </c>
      <c r="B696" t="str">
        <f>_xlfn.REGEXREPLACE([1]query1!B696, "https://doi.org/", "")</f>
        <v>10.2139/ssrn.3698420</v>
      </c>
      <c r="C696">
        <v>1</v>
      </c>
      <c r="D696" s="4" t="s">
        <v>1730</v>
      </c>
      <c r="E696" s="4" t="s">
        <v>1731</v>
      </c>
      <c r="F696" s="4">
        <v>2</v>
      </c>
    </row>
    <row r="697" spans="1:6" x14ac:dyDescent="0.45">
      <c r="A697" t="s">
        <v>1494</v>
      </c>
      <c r="B697" t="str">
        <f>_xlfn.REGEXREPLACE([1]query1!B697, "https://doi.org/", "")</f>
        <v>10.20944/preprints202408.1148.v1</v>
      </c>
      <c r="C697">
        <v>1</v>
      </c>
      <c r="D697" s="4" t="s">
        <v>1332</v>
      </c>
      <c r="E697" s="4" t="s">
        <v>1732</v>
      </c>
      <c r="F697" s="4">
        <v>2</v>
      </c>
    </row>
    <row r="698" spans="1:6" x14ac:dyDescent="0.45">
      <c r="A698" t="s">
        <v>1733</v>
      </c>
      <c r="B698" t="str">
        <f>_xlfn.REGEXREPLACE([1]query1!B698, "https://doi.org/", "")</f>
        <v>10.1109/tbdata.2024.3403390</v>
      </c>
      <c r="C698">
        <v>1</v>
      </c>
      <c r="D698" s="4" t="s">
        <v>1320</v>
      </c>
      <c r="E698" s="4" t="s">
        <v>1734</v>
      </c>
      <c r="F698" s="4">
        <v>2</v>
      </c>
    </row>
    <row r="699" spans="1:6" x14ac:dyDescent="0.45">
      <c r="A699" t="s">
        <v>1568</v>
      </c>
      <c r="B699" t="str">
        <f>_xlfn.REGEXREPLACE([1]query1!B699, "https://doi.org/", "")</f>
        <v>10.1145/3666025.3699346</v>
      </c>
      <c r="C699">
        <v>1</v>
      </c>
      <c r="D699" s="4" t="s">
        <v>1344</v>
      </c>
      <c r="E699" s="4" t="s">
        <v>1735</v>
      </c>
      <c r="F699" s="4">
        <v>2</v>
      </c>
    </row>
    <row r="700" spans="1:6" x14ac:dyDescent="0.45">
      <c r="A700" t="s">
        <v>1736</v>
      </c>
      <c r="B700" t="str">
        <f>_xlfn.REGEXREPLACE([1]query1!B700, "https://doi.org/", "")</f>
        <v>10.1109/globecom52923.2024.10901313</v>
      </c>
      <c r="C700">
        <v>1</v>
      </c>
      <c r="D700" s="4" t="s">
        <v>1503</v>
      </c>
      <c r="E700" s="4" t="s">
        <v>1737</v>
      </c>
      <c r="F700" s="4">
        <v>2</v>
      </c>
    </row>
    <row r="701" spans="1:6" x14ac:dyDescent="0.45">
      <c r="A701" t="s">
        <v>1738</v>
      </c>
      <c r="B701" t="str">
        <f>_xlfn.REGEXREPLACE([1]query1!B701, "https://doi.org/", "")</f>
        <v>10.25300/misq/2024/18049</v>
      </c>
      <c r="C701">
        <v>1</v>
      </c>
      <c r="D701" s="4" t="s">
        <v>1739</v>
      </c>
      <c r="E701" s="4" t="s">
        <v>1740</v>
      </c>
      <c r="F701" s="4">
        <v>2</v>
      </c>
    </row>
    <row r="702" spans="1:6" x14ac:dyDescent="0.45">
      <c r="A702" t="s">
        <v>1741</v>
      </c>
      <c r="B702" t="str">
        <f>_xlfn.REGEXREPLACE([1]query1!B702, "https://doi.org/", "")</f>
        <v>10.1002/gepi.22502</v>
      </c>
      <c r="C702">
        <v>1</v>
      </c>
      <c r="D702" s="4" t="s">
        <v>1742</v>
      </c>
      <c r="E702" s="4" t="s">
        <v>1743</v>
      </c>
      <c r="F702" s="4">
        <v>2</v>
      </c>
    </row>
    <row r="703" spans="1:6" x14ac:dyDescent="0.45">
      <c r="A703" t="s">
        <v>1744</v>
      </c>
      <c r="B703" t="str">
        <f>_xlfn.REGEXREPLACE([1]query1!B703, "https://doi.org/", "")</f>
        <v>10.1155/2020/6751574</v>
      </c>
      <c r="C703">
        <v>1</v>
      </c>
      <c r="D703" s="4" t="s">
        <v>1745</v>
      </c>
      <c r="E703" s="4" t="s">
        <v>1746</v>
      </c>
      <c r="F703" s="4">
        <v>2</v>
      </c>
    </row>
    <row r="704" spans="1:6" x14ac:dyDescent="0.45">
      <c r="A704" t="s">
        <v>1747</v>
      </c>
      <c r="B704" t="str">
        <f>_xlfn.REGEXREPLACE([1]query1!B704, "https://doi.org/", "")</f>
        <v>10.1115/gt2022-80865</v>
      </c>
      <c r="C704">
        <v>1</v>
      </c>
      <c r="D704" s="4" t="s">
        <v>1682</v>
      </c>
      <c r="E704" s="4" t="s">
        <v>1748</v>
      </c>
      <c r="F704" s="4">
        <v>2</v>
      </c>
    </row>
    <row r="705" spans="1:6" x14ac:dyDescent="0.45">
      <c r="A705" t="s">
        <v>1749</v>
      </c>
      <c r="B705" t="str">
        <f>_xlfn.REGEXREPLACE([1]query1!B705, "https://doi.org/", "")</f>
        <v>10.2139/ssrn.4021609</v>
      </c>
      <c r="C705">
        <v>1</v>
      </c>
      <c r="D705" s="4" t="s">
        <v>1750</v>
      </c>
      <c r="E705" s="4" t="s">
        <v>1751</v>
      </c>
      <c r="F705" s="4">
        <v>2</v>
      </c>
    </row>
    <row r="706" spans="1:6" x14ac:dyDescent="0.45">
      <c r="A706" t="s">
        <v>1590</v>
      </c>
      <c r="B706" t="str">
        <f>_xlfn.REGEXREPLACE([1]query1!B706, "https://doi.org/", "")</f>
        <v>10.1109/sensors60989.2024.10784982</v>
      </c>
      <c r="C706">
        <v>1</v>
      </c>
      <c r="D706" s="4" t="s">
        <v>1432</v>
      </c>
      <c r="E706" s="4" t="s">
        <v>1752</v>
      </c>
      <c r="F706" s="4">
        <v>2</v>
      </c>
    </row>
    <row r="707" spans="1:6" x14ac:dyDescent="0.45">
      <c r="A707" t="s">
        <v>1753</v>
      </c>
      <c r="B707" t="str">
        <f>_xlfn.REGEXREPLACE([1]query1!B707, "https://doi.org/", "")</f>
        <v>10.32614/rj-2023-018</v>
      </c>
      <c r="C707">
        <v>1</v>
      </c>
      <c r="D707" s="4" t="s">
        <v>1713</v>
      </c>
      <c r="E707" s="4" t="s">
        <v>1754</v>
      </c>
      <c r="F707" s="4">
        <v>2</v>
      </c>
    </row>
    <row r="708" spans="1:6" x14ac:dyDescent="0.45">
      <c r="A708" t="s">
        <v>1755</v>
      </c>
      <c r="B708" t="str">
        <f>_xlfn.REGEXREPLACE([1]query1!B708, "https://doi.org/", "")</f>
        <v>10.1109/iemcon56893.2022.9946596</v>
      </c>
      <c r="C708">
        <v>1</v>
      </c>
      <c r="D708" s="4" t="s">
        <v>1517</v>
      </c>
      <c r="E708" s="4" t="s">
        <v>1756</v>
      </c>
      <c r="F708" s="4">
        <v>2</v>
      </c>
    </row>
    <row r="709" spans="1:6" x14ac:dyDescent="0.45">
      <c r="A709" t="s">
        <v>1757</v>
      </c>
      <c r="B709" t="str">
        <f>_xlfn.REGEXREPLACE([1]query1!B709, "https://doi.org/", "")</f>
        <v>10.1007/978-3-031-25374-4_7</v>
      </c>
      <c r="C709">
        <v>1</v>
      </c>
      <c r="D709" s="4" t="s">
        <v>1758</v>
      </c>
      <c r="E709" s="4"/>
      <c r="F709" s="4">
        <v>2</v>
      </c>
    </row>
    <row r="710" spans="1:6" x14ac:dyDescent="0.45">
      <c r="A710" t="s">
        <v>1759</v>
      </c>
      <c r="B710" t="str">
        <f>_xlfn.REGEXREPLACE([1]query1!B710, "https://doi.org/", "")</f>
        <v>10.1109/tdsc.2024.3401836</v>
      </c>
      <c r="C710">
        <v>1</v>
      </c>
      <c r="D710" s="4" t="s">
        <v>1513</v>
      </c>
      <c r="E710" s="4" t="s">
        <v>1760</v>
      </c>
      <c r="F710" s="4">
        <v>2</v>
      </c>
    </row>
    <row r="711" spans="1:6" x14ac:dyDescent="0.45">
      <c r="A711" t="s">
        <v>1761</v>
      </c>
      <c r="B711" t="str">
        <f>_xlfn.REGEXREPLACE([1]query1!B711, "https://doi.org/", "")</f>
        <v>10.1364/oe.504854</v>
      </c>
      <c r="C711">
        <v>1</v>
      </c>
      <c r="D711" s="4" t="s">
        <v>1229</v>
      </c>
      <c r="E711" s="4" t="s">
        <v>1762</v>
      </c>
      <c r="F711" s="4">
        <v>2</v>
      </c>
    </row>
    <row r="712" spans="1:6" x14ac:dyDescent="0.45">
      <c r="A712" t="s">
        <v>1763</v>
      </c>
      <c r="B712" t="str">
        <f>_xlfn.REGEXREPLACE([1]query1!B712, "https://doi.org/", "")</f>
        <v>10.48550/arxiv.2006.14357</v>
      </c>
      <c r="C712">
        <v>1</v>
      </c>
      <c r="D712" s="4" t="s">
        <v>1458</v>
      </c>
      <c r="E712" s="4" t="s">
        <v>1764</v>
      </c>
      <c r="F712" s="4">
        <v>2</v>
      </c>
    </row>
    <row r="713" spans="1:6" x14ac:dyDescent="0.45">
      <c r="A713" t="s">
        <v>1765</v>
      </c>
      <c r="B713" t="str">
        <f>_xlfn.REGEXREPLACE([1]query1!B713, "https://doi.org/", "")</f>
        <v>10.5194/gmd-2020-171</v>
      </c>
      <c r="C713">
        <v>1</v>
      </c>
      <c r="D713" s="4" t="s">
        <v>1470</v>
      </c>
      <c r="E713" s="4" t="s">
        <v>1766</v>
      </c>
      <c r="F713" s="4">
        <v>2</v>
      </c>
    </row>
    <row r="714" spans="1:6" x14ac:dyDescent="0.45">
      <c r="A714" t="s">
        <v>1767</v>
      </c>
      <c r="B714" t="str">
        <f>_xlfn.REGEXREPLACE([1]query1!B714, "https://doi.org/", "")</f>
        <v>10.1002/pst.2292</v>
      </c>
      <c r="C714">
        <v>1</v>
      </c>
      <c r="D714" s="4" t="s">
        <v>1227</v>
      </c>
      <c r="E714" s="4" t="s">
        <v>1768</v>
      </c>
      <c r="F714" s="4">
        <v>2</v>
      </c>
    </row>
    <row r="715" spans="1:6" x14ac:dyDescent="0.45">
      <c r="A715" t="s">
        <v>1769</v>
      </c>
      <c r="B715" t="str">
        <f>_xlfn.REGEXREPLACE([1]query1!B715, "https://doi.org/", "")</f>
        <v>10.1109/tkde.2023.3335248</v>
      </c>
      <c r="C715">
        <v>1</v>
      </c>
      <c r="D715" s="4" t="s">
        <v>1299</v>
      </c>
      <c r="E715" s="4" t="s">
        <v>1770</v>
      </c>
      <c r="F715" s="4">
        <v>2</v>
      </c>
    </row>
    <row r="716" spans="1:6" x14ac:dyDescent="0.45">
      <c r="A716" t="s">
        <v>1745</v>
      </c>
      <c r="B716" t="str">
        <f>_xlfn.REGEXREPLACE([1]query1!B716, "https://doi.org/", "")</f>
        <v>10.1109/iwqos61813.2024.10682914</v>
      </c>
      <c r="C716">
        <v>1</v>
      </c>
      <c r="D716" s="4" t="s">
        <v>1771</v>
      </c>
      <c r="E716" s="4" t="s">
        <v>1772</v>
      </c>
      <c r="F716" s="4">
        <v>2</v>
      </c>
    </row>
    <row r="717" spans="1:6" x14ac:dyDescent="0.45">
      <c r="A717" t="s">
        <v>1773</v>
      </c>
      <c r="B717" t="str">
        <f>_xlfn.REGEXREPLACE([1]query1!B717, "https://doi.org/", "")</f>
        <v>10.1175/jcli-d-23-0312.1</v>
      </c>
      <c r="C717">
        <v>1</v>
      </c>
      <c r="D717" s="4" t="s">
        <v>1774</v>
      </c>
      <c r="E717" s="4" t="s">
        <v>1775</v>
      </c>
      <c r="F717" s="4">
        <v>2</v>
      </c>
    </row>
    <row r="718" spans="1:6" x14ac:dyDescent="0.45">
      <c r="A718" t="s">
        <v>1776</v>
      </c>
      <c r="B718" t="str">
        <f>_xlfn.REGEXREPLACE([1]query1!B718, "https://doi.org/", "")</f>
        <v>10.1089/neur.2023.0006</v>
      </c>
      <c r="C718">
        <v>1</v>
      </c>
      <c r="D718" s="4" t="s">
        <v>1463</v>
      </c>
      <c r="E718" s="4" t="s">
        <v>1777</v>
      </c>
      <c r="F718" s="4">
        <v>2</v>
      </c>
    </row>
    <row r="719" spans="1:6" x14ac:dyDescent="0.45">
      <c r="A719" t="s">
        <v>1778</v>
      </c>
      <c r="B719" t="str">
        <f>_xlfn.REGEXREPLACE([1]query1!B719, "https://doi.org/", "")</f>
        <v>10.1177/09622802231176034</v>
      </c>
      <c r="C719">
        <v>1</v>
      </c>
      <c r="D719" s="4" t="s">
        <v>1779</v>
      </c>
      <c r="E719" s="4" t="s">
        <v>1780</v>
      </c>
      <c r="F719" s="4">
        <v>2</v>
      </c>
    </row>
    <row r="720" spans="1:6" x14ac:dyDescent="0.45">
      <c r="A720" t="s">
        <v>1739</v>
      </c>
      <c r="B720" t="str">
        <f>_xlfn.REGEXREPLACE([1]query1!B720, "https://doi.org/", "")</f>
        <v>10.1109/tnet.2024.3470649</v>
      </c>
      <c r="C720">
        <v>1</v>
      </c>
      <c r="D720" s="4" t="s">
        <v>1781</v>
      </c>
      <c r="E720" s="4" t="s">
        <v>1782</v>
      </c>
      <c r="F720" s="4">
        <v>2</v>
      </c>
    </row>
    <row r="721" spans="1:6" x14ac:dyDescent="0.45">
      <c r="A721" t="s">
        <v>1783</v>
      </c>
      <c r="B721" t="str">
        <f>_xlfn.REGEXREPLACE([1]query1!B721, "https://doi.org/", "")</f>
        <v>10.48550/arxiv.2106.02802</v>
      </c>
      <c r="C721">
        <v>1</v>
      </c>
      <c r="D721" s="4" t="s">
        <v>1445</v>
      </c>
      <c r="E721" s="4" t="s">
        <v>1784</v>
      </c>
      <c r="F721" s="4">
        <v>2</v>
      </c>
    </row>
    <row r="722" spans="1:6" x14ac:dyDescent="0.45">
      <c r="A722" t="s">
        <v>1785</v>
      </c>
      <c r="B722" t="str">
        <f>_xlfn.REGEXREPLACE([1]query1!B722, "https://doi.org/", "")</f>
        <v>10.1101/2024.06.07.597929</v>
      </c>
      <c r="C722">
        <v>1</v>
      </c>
      <c r="D722" s="4" t="s">
        <v>1786</v>
      </c>
      <c r="E722" s="4" t="s">
        <v>1787</v>
      </c>
      <c r="F722" s="4">
        <v>2</v>
      </c>
    </row>
    <row r="723" spans="1:6" x14ac:dyDescent="0.45">
      <c r="A723" t="s">
        <v>1788</v>
      </c>
      <c r="B723" t="str">
        <f>_xlfn.REGEXREPLACE([1]query1!B723, "https://doi.org/", "")</f>
        <v>10.1175/jcli-d-23-0770.1</v>
      </c>
      <c r="C723">
        <v>1</v>
      </c>
      <c r="D723" s="4" t="s">
        <v>1378</v>
      </c>
      <c r="E723" s="4" t="s">
        <v>1789</v>
      </c>
      <c r="F723" s="4">
        <v>2</v>
      </c>
    </row>
    <row r="724" spans="1:6" x14ac:dyDescent="0.45">
      <c r="A724" t="s">
        <v>1790</v>
      </c>
      <c r="B724" t="str">
        <f>_xlfn.REGEXREPLACE([1]query1!B724, "https://doi.org/", "")</f>
        <v>10.48550/arxiv.2401.12300</v>
      </c>
      <c r="C724">
        <v>1</v>
      </c>
      <c r="D724" s="4" t="s">
        <v>1791</v>
      </c>
      <c r="E724" s="4" t="s">
        <v>1792</v>
      </c>
      <c r="F724" s="4">
        <v>2</v>
      </c>
    </row>
    <row r="725" spans="1:6" x14ac:dyDescent="0.45">
      <c r="A725" t="s">
        <v>1793</v>
      </c>
      <c r="B725" t="str">
        <f>_xlfn.REGEXREPLACE([1]query1!B725, "https://doi.org/", "")</f>
        <v>10.31234/osf.io/d8tuy</v>
      </c>
      <c r="C725">
        <v>1</v>
      </c>
      <c r="D725" s="4" t="s">
        <v>1794</v>
      </c>
      <c r="E725" s="4" t="s">
        <v>1795</v>
      </c>
      <c r="F725" s="4">
        <v>2</v>
      </c>
    </row>
    <row r="726" spans="1:6" x14ac:dyDescent="0.45">
      <c r="A726" t="s">
        <v>1796</v>
      </c>
      <c r="B726" t="str">
        <f>_xlfn.REGEXREPLACE([1]query1!B726, "https://doi.org/", "")</f>
        <v>10.5281/zenodo.8045762</v>
      </c>
      <c r="C726">
        <v>1</v>
      </c>
      <c r="D726" s="4" t="s">
        <v>1797</v>
      </c>
      <c r="E726" s="4" t="s">
        <v>1798</v>
      </c>
      <c r="F726" s="4">
        <v>2</v>
      </c>
    </row>
    <row r="727" spans="1:6" x14ac:dyDescent="0.45">
      <c r="A727" t="s">
        <v>1799</v>
      </c>
      <c r="B727" t="str">
        <f>_xlfn.REGEXREPLACE([1]query1!B727, "https://doi.org/", "")</f>
        <v>10.1101/2020.06.30.180943</v>
      </c>
      <c r="C727">
        <v>1</v>
      </c>
      <c r="D727" s="4" t="s">
        <v>1453</v>
      </c>
      <c r="E727" s="4" t="s">
        <v>1800</v>
      </c>
      <c r="F727" s="4">
        <v>2</v>
      </c>
    </row>
    <row r="728" spans="1:6" x14ac:dyDescent="0.45">
      <c r="A728" t="s">
        <v>1801</v>
      </c>
      <c r="B728" t="str">
        <f>_xlfn.REGEXREPLACE([1]query1!B728, "https://doi.org/", "")</f>
        <v>10.1016/j.ecoleng.2023.107145</v>
      </c>
      <c r="C728">
        <v>1</v>
      </c>
      <c r="D728" s="4" t="s">
        <v>1802</v>
      </c>
      <c r="E728" s="4" t="s">
        <v>1803</v>
      </c>
      <c r="F728" s="4">
        <v>2</v>
      </c>
    </row>
    <row r="729" spans="1:6" x14ac:dyDescent="0.45">
      <c r="A729" t="s">
        <v>1804</v>
      </c>
      <c r="B729" t="str">
        <f>_xlfn.REGEXREPLACE([1]query1!B729, "https://doi.org/", "")</f>
        <v>10.1136/ijgc-2024-esgo.66</v>
      </c>
      <c r="C729">
        <v>1</v>
      </c>
      <c r="D729" s="4" t="s">
        <v>1805</v>
      </c>
      <c r="E729" s="4" t="s">
        <v>1806</v>
      </c>
      <c r="F729" s="4">
        <v>2</v>
      </c>
    </row>
    <row r="730" spans="1:6" x14ac:dyDescent="0.45">
      <c r="A730" t="s">
        <v>1724</v>
      </c>
      <c r="B730" t="str">
        <f>_xlfn.REGEXREPLACE([1]query1!B730, "https://doi.org/", "")</f>
        <v>10.4271/2024-01-2114</v>
      </c>
      <c r="C730">
        <v>1</v>
      </c>
      <c r="D730" s="4" t="s">
        <v>1207</v>
      </c>
      <c r="E730" s="4" t="s">
        <v>1807</v>
      </c>
      <c r="F730" s="4">
        <v>2</v>
      </c>
    </row>
    <row r="731" spans="1:6" x14ac:dyDescent="0.45">
      <c r="A731" t="s">
        <v>1808</v>
      </c>
      <c r="B731" t="str">
        <f>_xlfn.REGEXREPLACE([1]query1!B731, "https://doi.org/", "")</f>
        <v>10.1088/1361-6463/ab7e68</v>
      </c>
      <c r="C731">
        <v>1</v>
      </c>
      <c r="D731" s="4" t="s">
        <v>1809</v>
      </c>
      <c r="E731" s="4" t="s">
        <v>1810</v>
      </c>
      <c r="F731" s="4">
        <v>2</v>
      </c>
    </row>
    <row r="732" spans="1:6" x14ac:dyDescent="0.45">
      <c r="A732" t="s">
        <v>1358</v>
      </c>
      <c r="B732" t="str">
        <f>_xlfn.REGEXREPLACE([1]query1!B732, "https://doi.org/", "")</f>
        <v>10.1145/3586182.3615806</v>
      </c>
      <c r="C732">
        <v>0</v>
      </c>
      <c r="D732" s="4" t="s">
        <v>1811</v>
      </c>
      <c r="E732" s="4" t="s">
        <v>1812</v>
      </c>
      <c r="F732" s="4">
        <v>2</v>
      </c>
    </row>
    <row r="733" spans="1:6" x14ac:dyDescent="0.45">
      <c r="A733" t="s">
        <v>1813</v>
      </c>
      <c r="B733" t="str">
        <f>_xlfn.REGEXREPLACE([1]query1!B733, "https://doi.org/", "")</f>
        <v>10.1016/j.rse.2023.113873</v>
      </c>
      <c r="C733">
        <v>0</v>
      </c>
      <c r="D733" s="4" t="s">
        <v>1232</v>
      </c>
      <c r="E733" s="4" t="s">
        <v>1814</v>
      </c>
      <c r="F733" s="4">
        <v>2</v>
      </c>
    </row>
    <row r="734" spans="1:6" x14ac:dyDescent="0.45">
      <c r="A734" t="s">
        <v>1815</v>
      </c>
      <c r="B734" t="str">
        <f>_xlfn.REGEXREPLACE([1]query1!B734, "https://doi.org/", "")</f>
        <v>10.2139/ssrn.4213655</v>
      </c>
      <c r="C734">
        <v>0</v>
      </c>
      <c r="D734" s="4" t="s">
        <v>1696</v>
      </c>
      <c r="E734" s="4" t="s">
        <v>1816</v>
      </c>
      <c r="F734" s="4">
        <v>2</v>
      </c>
    </row>
    <row r="735" spans="1:6" x14ac:dyDescent="0.45">
      <c r="A735" t="s">
        <v>1817</v>
      </c>
      <c r="B735" t="str">
        <f>_xlfn.REGEXREPLACE([1]query1!B735, "https://doi.org/", "")</f>
        <v>10.1080/15427560.2023.2203496</v>
      </c>
      <c r="C735">
        <v>0</v>
      </c>
      <c r="D735" s="4" t="s">
        <v>1818</v>
      </c>
      <c r="E735" s="4" t="s">
        <v>1819</v>
      </c>
      <c r="F735" s="4">
        <v>2</v>
      </c>
    </row>
    <row r="736" spans="1:6" x14ac:dyDescent="0.45">
      <c r="A736" t="s">
        <v>1820</v>
      </c>
      <c r="B736" t="str">
        <f>_xlfn.REGEXREPLACE([1]query1!B736, "https://doi.org/", "")</f>
        <v>10.5194/isprs-archives-xliii-b4-2021-339-2021</v>
      </c>
      <c r="C736">
        <v>0</v>
      </c>
      <c r="D736" s="4" t="s">
        <v>1821</v>
      </c>
      <c r="E736" s="4" t="s">
        <v>1822</v>
      </c>
      <c r="F736" s="4">
        <v>2</v>
      </c>
    </row>
    <row r="737" spans="1:6" x14ac:dyDescent="0.45">
      <c r="A737" t="s">
        <v>1823</v>
      </c>
      <c r="B737" t="str">
        <f>_xlfn.REGEXREPLACE([1]query1!B737, "https://doi.org/", "")</f>
        <v>10.34024/prometeica.2023.27.15303</v>
      </c>
      <c r="C737">
        <v>0</v>
      </c>
      <c r="D737" s="4" t="s">
        <v>1376</v>
      </c>
      <c r="E737" s="4" t="s">
        <v>1824</v>
      </c>
      <c r="F737" s="4">
        <v>2</v>
      </c>
    </row>
    <row r="738" spans="1:6" x14ac:dyDescent="0.45">
      <c r="A738" t="s">
        <v>1555</v>
      </c>
      <c r="B738" t="str">
        <f>_xlfn.REGEXREPLACE([1]query1!B738, "https://doi.org/", "")</f>
        <v>10.5281/zenodo.10078539</v>
      </c>
      <c r="C738">
        <v>0</v>
      </c>
      <c r="D738" s="4" t="s">
        <v>1613</v>
      </c>
      <c r="E738" s="4" t="s">
        <v>1825</v>
      </c>
      <c r="F738" s="4">
        <v>2</v>
      </c>
    </row>
    <row r="739" spans="1:6" x14ac:dyDescent="0.45">
      <c r="A739" t="s">
        <v>1826</v>
      </c>
      <c r="B739" t="str">
        <f>_xlfn.REGEXREPLACE([1]query1!B739, "https://doi.org/", "")</f>
        <v>10.1109/vcip53242.2021.9675344</v>
      </c>
      <c r="C739">
        <v>0</v>
      </c>
      <c r="D739" s="4" t="s">
        <v>1827</v>
      </c>
      <c r="E739" s="4" t="s">
        <v>1828</v>
      </c>
      <c r="F739" s="4">
        <v>2</v>
      </c>
    </row>
    <row r="740" spans="1:6" x14ac:dyDescent="0.45">
      <c r="A740" t="s">
        <v>1829</v>
      </c>
      <c r="B740" t="str">
        <f>_xlfn.REGEXREPLACE([1]query1!B740, "https://doi.org/", "")</f>
        <v>10.24908/pceea.vi0.14897</v>
      </c>
      <c r="C740">
        <v>0</v>
      </c>
      <c r="D740" s="4" t="s">
        <v>1830</v>
      </c>
      <c r="E740" s="4" t="s">
        <v>1831</v>
      </c>
      <c r="F740" s="4">
        <v>2</v>
      </c>
    </row>
    <row r="741" spans="1:6" x14ac:dyDescent="0.45">
      <c r="A741" t="s">
        <v>1832</v>
      </c>
      <c r="B741" t="str">
        <f>_xlfn.REGEXREPLACE([1]query1!B741, "https://doi.org/", "")</f>
        <v>10.3390/ijerph21111413</v>
      </c>
      <c r="C741">
        <v>0</v>
      </c>
      <c r="D741" s="4" t="s">
        <v>1833</v>
      </c>
      <c r="E741" s="4" t="s">
        <v>1834</v>
      </c>
      <c r="F741" s="4">
        <v>2</v>
      </c>
    </row>
    <row r="742" spans="1:6" x14ac:dyDescent="0.45">
      <c r="A742" t="s">
        <v>1835</v>
      </c>
      <c r="B742" t="str">
        <f>_xlfn.REGEXREPLACE([1]query1!B742, "https://doi.org/", "")</f>
        <v>10.1149/ma2023-01282791mtgabs</v>
      </c>
      <c r="C742">
        <v>0</v>
      </c>
      <c r="D742" s="4" t="s">
        <v>1679</v>
      </c>
      <c r="E742" s="4" t="s">
        <v>1836</v>
      </c>
      <c r="F742" s="4">
        <v>2</v>
      </c>
    </row>
    <row r="743" spans="1:6" x14ac:dyDescent="0.45">
      <c r="A743" t="s">
        <v>937</v>
      </c>
      <c r="B743" t="str">
        <f>_xlfn.REGEXREPLACE([1]query1!B743, "https://doi.org/", "")</f>
        <v>10.5281/zenodo.4663136</v>
      </c>
      <c r="C743">
        <v>0</v>
      </c>
      <c r="D743" s="4" t="s">
        <v>1837</v>
      </c>
      <c r="E743" s="4" t="s">
        <v>1838</v>
      </c>
      <c r="F743" s="4">
        <v>2</v>
      </c>
    </row>
    <row r="744" spans="1:6" x14ac:dyDescent="0.45">
      <c r="A744" t="s">
        <v>1839</v>
      </c>
      <c r="B744" t="str">
        <f>_xlfn.REGEXREPLACE([1]query1!B744, "https://doi.org/", "")</f>
        <v>10.1007/978-3-031-66971-2_50</v>
      </c>
      <c r="C744">
        <v>0</v>
      </c>
      <c r="D744" s="4" t="s">
        <v>1840</v>
      </c>
      <c r="E744" s="4" t="s">
        <v>1841</v>
      </c>
      <c r="F744" s="4">
        <v>2</v>
      </c>
    </row>
    <row r="745" spans="1:6" x14ac:dyDescent="0.45">
      <c r="A745" t="s">
        <v>1388</v>
      </c>
      <c r="B745" t="str">
        <f>_xlfn.REGEXREPLACE([1]query1!B745, "https://doi.org/", "")</f>
        <v>10.7910/dvn/unebpy</v>
      </c>
      <c r="C745">
        <v>0</v>
      </c>
      <c r="D745" s="4" t="s">
        <v>1842</v>
      </c>
      <c r="E745" s="4" t="s">
        <v>1843</v>
      </c>
      <c r="F745" s="4">
        <v>2</v>
      </c>
    </row>
    <row r="746" spans="1:6" x14ac:dyDescent="0.45">
      <c r="A746" t="s">
        <v>1844</v>
      </c>
      <c r="B746" t="str">
        <f>_xlfn.REGEXREPLACE([1]query1!B746, "https://doi.org/", "")</f>
        <v>10.1289/isee.2022.p-0008</v>
      </c>
      <c r="C746">
        <v>0</v>
      </c>
      <c r="D746" s="4" t="s">
        <v>1845</v>
      </c>
      <c r="E746" s="4" t="s">
        <v>1846</v>
      </c>
      <c r="F746" s="4">
        <v>1</v>
      </c>
    </row>
    <row r="747" spans="1:6" x14ac:dyDescent="0.45">
      <c r="A747" t="s">
        <v>1393</v>
      </c>
      <c r="B747" t="str">
        <f>_xlfn.REGEXREPLACE([1]query1!B747, "https://doi.org/", "")</f>
        <v>10.48550/arxiv.2211.05836</v>
      </c>
      <c r="C747">
        <v>0</v>
      </c>
      <c r="D747" s="4" t="s">
        <v>1847</v>
      </c>
      <c r="E747" s="4" t="s">
        <v>1848</v>
      </c>
      <c r="F747" s="4">
        <v>1</v>
      </c>
    </row>
    <row r="748" spans="1:6" x14ac:dyDescent="0.45">
      <c r="A748" t="s">
        <v>1849</v>
      </c>
      <c r="B748" t="str">
        <f>_xlfn.REGEXREPLACE([1]query1!B748, "https://doi.org/", "")</f>
        <v>10.1149/ma2023-02391915mtgabs</v>
      </c>
      <c r="C748">
        <v>0</v>
      </c>
      <c r="D748" s="4" t="s">
        <v>1850</v>
      </c>
      <c r="E748" s="4" t="s">
        <v>1851</v>
      </c>
      <c r="F748" s="4">
        <v>1</v>
      </c>
    </row>
    <row r="749" spans="1:6" x14ac:dyDescent="0.45">
      <c r="A749" t="s">
        <v>1852</v>
      </c>
      <c r="B749" t="str">
        <f>_xlfn.REGEXREPLACE([1]query1!B749, "https://doi.org/", "")</f>
        <v>10.1109/pvsc43889.2021.9518957</v>
      </c>
      <c r="C749">
        <v>0</v>
      </c>
      <c r="D749" s="4" t="s">
        <v>1330</v>
      </c>
      <c r="E749" s="4" t="s">
        <v>1853</v>
      </c>
      <c r="F749" s="4">
        <v>1</v>
      </c>
    </row>
    <row r="750" spans="1:6" x14ac:dyDescent="0.45">
      <c r="A750" t="s">
        <v>1854</v>
      </c>
      <c r="B750" t="str">
        <f>_xlfn.REGEXREPLACE([1]query1!B750, "https://doi.org/", "")</f>
        <v>10.1149/ma2022-01412456mtgabs</v>
      </c>
      <c r="C750">
        <v>0</v>
      </c>
      <c r="D750" s="4" t="s">
        <v>1855</v>
      </c>
      <c r="E750" s="4"/>
      <c r="F750" s="4">
        <v>1</v>
      </c>
    </row>
    <row r="751" spans="1:6" x14ac:dyDescent="0.45">
      <c r="A751" t="s">
        <v>1856</v>
      </c>
      <c r="B751" t="str">
        <f>_xlfn.REGEXREPLACE([1]query1!B751, "https://doi.org/", "")</f>
        <v>10.1101/2024.10.24.620034</v>
      </c>
      <c r="C751">
        <v>0</v>
      </c>
      <c r="D751" s="4" t="s">
        <v>1494</v>
      </c>
      <c r="E751" s="4" t="s">
        <v>1857</v>
      </c>
      <c r="F751" s="4">
        <v>1</v>
      </c>
    </row>
    <row r="752" spans="1:6" x14ac:dyDescent="0.45">
      <c r="A752" t="s">
        <v>1858</v>
      </c>
      <c r="B752" t="str">
        <f>_xlfn.REGEXREPLACE([1]query1!B752, "https://doi.org/", "")</f>
        <v>10.1101/2024.07.04.600628</v>
      </c>
      <c r="C752">
        <v>0</v>
      </c>
      <c r="D752" s="4" t="s">
        <v>1859</v>
      </c>
      <c r="E752" s="4" t="s">
        <v>1860</v>
      </c>
      <c r="F752" s="4">
        <v>1</v>
      </c>
    </row>
    <row r="753" spans="1:6" x14ac:dyDescent="0.45">
      <c r="A753" t="s">
        <v>1861</v>
      </c>
      <c r="B753" t="str">
        <f>_xlfn.REGEXREPLACE([1]query1!B753, "https://doi.org/", "")</f>
        <v>10.1016/j.hydroa.2022.100144</v>
      </c>
      <c r="C753">
        <v>0</v>
      </c>
      <c r="D753" s="4" t="s">
        <v>1862</v>
      </c>
      <c r="E753" s="4" t="s">
        <v>1863</v>
      </c>
      <c r="F753" s="4">
        <v>1</v>
      </c>
    </row>
    <row r="754" spans="1:6" x14ac:dyDescent="0.45">
      <c r="A754" t="s">
        <v>1864</v>
      </c>
      <c r="B754" t="str">
        <f>_xlfn.REGEXREPLACE([1]query1!B754, "https://doi.org/", "")</f>
        <v>10.4108/eai.18-11-2022.2326875</v>
      </c>
      <c r="C754">
        <v>0</v>
      </c>
      <c r="D754" s="4" t="s">
        <v>1636</v>
      </c>
      <c r="E754" s="4" t="s">
        <v>1865</v>
      </c>
      <c r="F754" s="4">
        <v>1</v>
      </c>
    </row>
    <row r="755" spans="1:6" x14ac:dyDescent="0.45">
      <c r="A755" t="s">
        <v>1866</v>
      </c>
      <c r="B755" t="str">
        <f>_xlfn.REGEXREPLACE([1]query1!B755, "https://doi.org/", "")</f>
        <v>10.1016/j.enconman.2022.115573</v>
      </c>
      <c r="C755">
        <v>0</v>
      </c>
      <c r="D755" s="4" t="s">
        <v>1867</v>
      </c>
      <c r="E755" s="4" t="s">
        <v>1868</v>
      </c>
      <c r="F755" s="4">
        <v>1</v>
      </c>
    </row>
    <row r="756" spans="1:6" x14ac:dyDescent="0.45">
      <c r="A756" t="s">
        <v>1869</v>
      </c>
      <c r="B756" t="str">
        <f>_xlfn.REGEXREPLACE([1]query1!B756, "https://doi.org/", "")</f>
        <v>10.1051/e3sconf/202130802005</v>
      </c>
      <c r="C756">
        <v>0</v>
      </c>
      <c r="D756" s="4" t="s">
        <v>1870</v>
      </c>
      <c r="E756" s="4" t="s">
        <v>1871</v>
      </c>
      <c r="F756" s="4">
        <v>1</v>
      </c>
    </row>
    <row r="757" spans="1:6" x14ac:dyDescent="0.45">
      <c r="A757" t="s">
        <v>1872</v>
      </c>
      <c r="B757" t="str">
        <f>_xlfn.REGEXREPLACE([1]query1!B757, "https://doi.org/", "")</f>
        <v>10.1109/icca62789.2024.10591810</v>
      </c>
      <c r="C757">
        <v>0</v>
      </c>
      <c r="D757" s="4" t="s">
        <v>1873</v>
      </c>
      <c r="E757" s="4" t="s">
        <v>1874</v>
      </c>
      <c r="F757" s="4">
        <v>1</v>
      </c>
    </row>
    <row r="758" spans="1:6" x14ac:dyDescent="0.45">
      <c r="A758" t="s">
        <v>1875</v>
      </c>
      <c r="B758" t="str">
        <f>_xlfn.REGEXREPLACE([1]query1!B758, "https://doi.org/", "")</f>
        <v>10.5194/tc-2021-359-rc2</v>
      </c>
      <c r="C758">
        <v>0</v>
      </c>
      <c r="D758" s="4" t="s">
        <v>1599</v>
      </c>
      <c r="E758" s="4" t="s">
        <v>1876</v>
      </c>
      <c r="F758" s="4">
        <v>1</v>
      </c>
    </row>
    <row r="759" spans="1:6" x14ac:dyDescent="0.45">
      <c r="A759" t="s">
        <v>1877</v>
      </c>
      <c r="B759" t="str">
        <f>_xlfn.REGEXREPLACE([1]query1!B759, "https://doi.org/", "")</f>
        <v>10.5194/tc-2021-359-ac2</v>
      </c>
      <c r="C759">
        <v>0</v>
      </c>
      <c r="D759" s="4" t="s">
        <v>1422</v>
      </c>
      <c r="E759" s="4" t="s">
        <v>1878</v>
      </c>
      <c r="F759" s="4">
        <v>1</v>
      </c>
    </row>
    <row r="760" spans="1:6" x14ac:dyDescent="0.45">
      <c r="A760" t="s">
        <v>1879</v>
      </c>
      <c r="B760" t="str">
        <f>_xlfn.REGEXREPLACE([1]query1!B760, "https://doi.org/", "")</f>
        <v>10.5194/tc-2021-359-ac3</v>
      </c>
      <c r="C760">
        <v>0</v>
      </c>
      <c r="D760" s="4" t="s">
        <v>1728</v>
      </c>
      <c r="E760" s="4" t="s">
        <v>1880</v>
      </c>
      <c r="F760" s="4">
        <v>1</v>
      </c>
    </row>
    <row r="761" spans="1:6" x14ac:dyDescent="0.45">
      <c r="A761" t="s">
        <v>1875</v>
      </c>
      <c r="B761" t="str">
        <f>_xlfn.REGEXREPLACE([1]query1!B761, "https://doi.org/", "")</f>
        <v>10.5194/tc-2021-359-rc3</v>
      </c>
      <c r="C761">
        <v>0</v>
      </c>
      <c r="D761" s="4" t="s">
        <v>1881</v>
      </c>
      <c r="E761" s="4" t="s">
        <v>1882</v>
      </c>
      <c r="F761" s="4">
        <v>1</v>
      </c>
    </row>
    <row r="762" spans="1:6" x14ac:dyDescent="0.45">
      <c r="A762" t="s">
        <v>1883</v>
      </c>
      <c r="B762" t="str">
        <f>_xlfn.REGEXREPLACE([1]query1!B762, "https://doi.org/", "")</f>
        <v>10.5194/tc-2021-359-ac1</v>
      </c>
      <c r="C762">
        <v>0</v>
      </c>
      <c r="D762" s="4" t="s">
        <v>1704</v>
      </c>
      <c r="E762" s="4" t="s">
        <v>1884</v>
      </c>
      <c r="F762" s="4">
        <v>1</v>
      </c>
    </row>
    <row r="763" spans="1:6" x14ac:dyDescent="0.45">
      <c r="A763" t="s">
        <v>1885</v>
      </c>
      <c r="B763" t="str">
        <f>_xlfn.REGEXREPLACE([1]query1!B763, "https://doi.org/", "")</f>
        <v>10.2139/ssrn.3819931</v>
      </c>
      <c r="C763">
        <v>0</v>
      </c>
      <c r="D763" s="4" t="s">
        <v>1588</v>
      </c>
      <c r="E763" s="4" t="s">
        <v>1886</v>
      </c>
      <c r="F763" s="4">
        <v>1</v>
      </c>
    </row>
    <row r="764" spans="1:6" x14ac:dyDescent="0.45">
      <c r="A764" t="s">
        <v>1887</v>
      </c>
      <c r="B764" t="str">
        <f>_xlfn.REGEXREPLACE([1]query1!B764, "https://doi.org/", "")</f>
        <v>10.1145/3458305.3478465</v>
      </c>
      <c r="C764">
        <v>0</v>
      </c>
      <c r="D764" s="4" t="s">
        <v>1888</v>
      </c>
      <c r="E764" s="4" t="s">
        <v>1889</v>
      </c>
      <c r="F764" s="4">
        <v>1</v>
      </c>
    </row>
    <row r="765" spans="1:6" x14ac:dyDescent="0.45">
      <c r="A765" t="s">
        <v>1890</v>
      </c>
      <c r="B765" t="str">
        <f>_xlfn.REGEXREPLACE([1]query1!B765, "https://doi.org/", "")</f>
        <v>10.55092/aias20240007</v>
      </c>
      <c r="C765">
        <v>0</v>
      </c>
      <c r="D765" s="4" t="s">
        <v>1693</v>
      </c>
      <c r="E765" s="4" t="s">
        <v>1891</v>
      </c>
      <c r="F765" s="4">
        <v>1</v>
      </c>
    </row>
    <row r="766" spans="1:6" x14ac:dyDescent="0.45">
      <c r="A766" t="s">
        <v>1892</v>
      </c>
      <c r="B766" t="str">
        <f>_xlfn.REGEXREPLACE([1]query1!B766, "https://doi.org/", "")</f>
        <v>10.1177/00207020231178924</v>
      </c>
      <c r="C766">
        <v>0</v>
      </c>
      <c r="D766" s="4" t="s">
        <v>1295</v>
      </c>
      <c r="E766" s="4" t="s">
        <v>1893</v>
      </c>
      <c r="F766" s="4">
        <v>1</v>
      </c>
    </row>
    <row r="767" spans="1:6" x14ac:dyDescent="0.45">
      <c r="A767" t="s">
        <v>1894</v>
      </c>
      <c r="B767" t="str">
        <f>_xlfn.REGEXREPLACE([1]query1!B767, "https://doi.org/", "")</f>
        <v>10.1177/01171968241310287</v>
      </c>
      <c r="C767">
        <v>0</v>
      </c>
      <c r="D767" s="4" t="s">
        <v>1323</v>
      </c>
      <c r="E767" s="4" t="s">
        <v>1895</v>
      </c>
      <c r="F767" s="4">
        <v>1</v>
      </c>
    </row>
    <row r="768" spans="1:6" x14ac:dyDescent="0.45">
      <c r="A768" t="s">
        <v>1896</v>
      </c>
      <c r="B768" t="str">
        <f>_xlfn.REGEXREPLACE([1]query1!B768, "https://doi.org/", "")</f>
        <v>10.48550/arxiv.2002.12739</v>
      </c>
      <c r="C768">
        <v>0</v>
      </c>
      <c r="D768" s="4" t="s">
        <v>1707</v>
      </c>
      <c r="E768" s="4" t="s">
        <v>1897</v>
      </c>
      <c r="F768" s="4">
        <v>1</v>
      </c>
    </row>
    <row r="769" spans="1:6" x14ac:dyDescent="0.45">
      <c r="A769" t="s">
        <v>1898</v>
      </c>
      <c r="B769" t="str">
        <f>_xlfn.REGEXREPLACE([1]query1!B769, "https://doi.org/", "")</f>
        <v>10.1017/9781009243728.012</v>
      </c>
      <c r="C769">
        <v>0</v>
      </c>
      <c r="D769" s="4" t="s">
        <v>1699</v>
      </c>
      <c r="E769" s="4" t="s">
        <v>1899</v>
      </c>
      <c r="F769" s="4">
        <v>1</v>
      </c>
    </row>
    <row r="770" spans="1:6" x14ac:dyDescent="0.45">
      <c r="A770" t="s">
        <v>1900</v>
      </c>
      <c r="B770" t="str">
        <f>_xlfn.REGEXREPLACE([1]query1!B770, "https://doi.org/", "")</f>
        <v>10.1017/jch.2020.49</v>
      </c>
      <c r="C770">
        <v>0</v>
      </c>
      <c r="D770" s="4" t="s">
        <v>1901</v>
      </c>
      <c r="E770" s="4" t="s">
        <v>1902</v>
      </c>
      <c r="F770" s="4">
        <v>1</v>
      </c>
    </row>
    <row r="771" spans="1:6" x14ac:dyDescent="0.45">
      <c r="A771" t="s">
        <v>1903</v>
      </c>
      <c r="B771" t="str">
        <f>_xlfn.REGEXREPLACE([1]query1!B771, "https://doi.org/", "")</f>
        <v>10.22541/essoar.167525041.18985769/v1</v>
      </c>
      <c r="C771">
        <v>0</v>
      </c>
      <c r="D771" s="4" t="s">
        <v>1488</v>
      </c>
      <c r="E771" s="4" t="s">
        <v>1904</v>
      </c>
      <c r="F771" s="4">
        <v>1</v>
      </c>
    </row>
    <row r="772" spans="1:6" x14ac:dyDescent="0.45">
      <c r="A772" t="s">
        <v>1905</v>
      </c>
      <c r="B772" t="str">
        <f>_xlfn.REGEXREPLACE([1]query1!B772, "https://doi.org/", "")</f>
        <v>10.5194/egusphere-2023-2063-rc3</v>
      </c>
      <c r="C772">
        <v>0</v>
      </c>
      <c r="D772" s="4" t="s">
        <v>1388</v>
      </c>
      <c r="E772" s="4" t="s">
        <v>1906</v>
      </c>
      <c r="F772" s="4">
        <v>1</v>
      </c>
    </row>
    <row r="773" spans="1:6" x14ac:dyDescent="0.45">
      <c r="A773" t="s">
        <v>1905</v>
      </c>
      <c r="B773" t="str">
        <f>_xlfn.REGEXREPLACE([1]query1!B773, "https://doi.org/", "")</f>
        <v>10.5194/egusphere-2023-2063-rc2</v>
      </c>
      <c r="C773">
        <v>0</v>
      </c>
      <c r="D773" s="4" t="s">
        <v>1769</v>
      </c>
      <c r="E773" s="4" t="s">
        <v>1907</v>
      </c>
      <c r="F773" s="4">
        <v>1</v>
      </c>
    </row>
    <row r="774" spans="1:6" x14ac:dyDescent="0.45">
      <c r="A774" t="s">
        <v>1908</v>
      </c>
      <c r="B774" t="str">
        <f>_xlfn.REGEXREPLACE([1]query1!B774, "https://doi.org/", "")</f>
        <v>10.5210/spir.v2020i0.11235</v>
      </c>
      <c r="C774">
        <v>0</v>
      </c>
      <c r="D774" s="4" t="s">
        <v>1801</v>
      </c>
      <c r="E774" s="4" t="s">
        <v>1909</v>
      </c>
      <c r="F774" s="4">
        <v>1</v>
      </c>
    </row>
    <row r="775" spans="1:6" x14ac:dyDescent="0.45">
      <c r="A775" t="s">
        <v>1910</v>
      </c>
      <c r="B775" t="str">
        <f>_xlfn.REGEXREPLACE([1]query1!B775, "https://doi.org/", "")</f>
        <v>10.37247/pamed.1.2020.16</v>
      </c>
      <c r="C775">
        <v>0</v>
      </c>
      <c r="D775" s="4" t="s">
        <v>1911</v>
      </c>
      <c r="E775" s="4" t="s">
        <v>1912</v>
      </c>
      <c r="F775" s="4">
        <v>1</v>
      </c>
    </row>
    <row r="776" spans="1:6" x14ac:dyDescent="0.45">
      <c r="A776" t="s">
        <v>1620</v>
      </c>
      <c r="B776" t="str">
        <f>_xlfn.REGEXREPLACE([1]query1!B776, "https://doi.org/", "")</f>
        <v>10.5281/zenodo.4641433</v>
      </c>
      <c r="C776">
        <v>0</v>
      </c>
      <c r="D776" s="4" t="s">
        <v>1671</v>
      </c>
      <c r="E776" s="4" t="s">
        <v>1913</v>
      </c>
      <c r="F776" s="4">
        <v>1</v>
      </c>
    </row>
    <row r="777" spans="1:6" x14ac:dyDescent="0.45">
      <c r="A777" t="s">
        <v>1877</v>
      </c>
      <c r="B777" t="str">
        <f>_xlfn.REGEXREPLACE([1]query1!B777, "https://doi.org/", "")</f>
        <v>10.5194/egusphere-2023-420-ac3</v>
      </c>
      <c r="C777">
        <v>0</v>
      </c>
      <c r="D777" s="4" t="s">
        <v>1565</v>
      </c>
      <c r="E777" s="4" t="s">
        <v>1914</v>
      </c>
      <c r="F777" s="4">
        <v>1</v>
      </c>
    </row>
    <row r="778" spans="1:6" x14ac:dyDescent="0.45">
      <c r="A778" t="s">
        <v>1915</v>
      </c>
      <c r="B778" t="str">
        <f>_xlfn.REGEXREPLACE([1]query1!B778, "https://doi.org/", "")</f>
        <v>10.5194/egusphere-2023-420-rc2</v>
      </c>
      <c r="C778">
        <v>0</v>
      </c>
      <c r="D778" s="4" t="s">
        <v>1736</v>
      </c>
      <c r="E778" s="4" t="s">
        <v>1916</v>
      </c>
      <c r="F778" s="4">
        <v>1</v>
      </c>
    </row>
    <row r="779" spans="1:6" x14ac:dyDescent="0.45">
      <c r="A779" t="s">
        <v>1915</v>
      </c>
      <c r="B779" t="str">
        <f>_xlfn.REGEXREPLACE([1]query1!B779, "https://doi.org/", "")</f>
        <v>10.5194/egusphere-2023-420-cc1</v>
      </c>
      <c r="C779">
        <v>0</v>
      </c>
      <c r="D779" s="4" t="s">
        <v>1666</v>
      </c>
      <c r="E779" s="4" t="s">
        <v>1917</v>
      </c>
      <c r="F779" s="4">
        <v>1</v>
      </c>
    </row>
    <row r="780" spans="1:6" x14ac:dyDescent="0.45">
      <c r="A780" t="s">
        <v>1918</v>
      </c>
      <c r="B780" t="str">
        <f>_xlfn.REGEXREPLACE([1]query1!B780, "https://doi.org/", "")</f>
        <v>10.5194/egusphere-2023-420-ac2</v>
      </c>
      <c r="C780">
        <v>0</v>
      </c>
      <c r="D780" s="4" t="s">
        <v>1919</v>
      </c>
      <c r="E780" s="4" t="s">
        <v>1920</v>
      </c>
      <c r="F780" s="4">
        <v>1</v>
      </c>
    </row>
    <row r="781" spans="1:6" x14ac:dyDescent="0.45">
      <c r="A781" t="s">
        <v>1883</v>
      </c>
      <c r="B781" t="str">
        <f>_xlfn.REGEXREPLACE([1]query1!B781, "https://doi.org/", "")</f>
        <v>10.5194/egusphere-2023-420-ac1</v>
      </c>
      <c r="C781">
        <v>0</v>
      </c>
      <c r="D781" s="4" t="s">
        <v>1761</v>
      </c>
      <c r="E781" s="4" t="s">
        <v>1921</v>
      </c>
      <c r="F781" s="4">
        <v>1</v>
      </c>
    </row>
    <row r="782" spans="1:6" x14ac:dyDescent="0.45">
      <c r="A782" t="s">
        <v>1791</v>
      </c>
      <c r="B782" t="str">
        <f>_xlfn.REGEXREPLACE([1]query1!B782, "https://doi.org/", "")</f>
        <v>10.1109/emts57498.2023.10925248</v>
      </c>
      <c r="C782">
        <v>0</v>
      </c>
      <c r="D782" s="4" t="s">
        <v>1922</v>
      </c>
      <c r="E782" s="4" t="s">
        <v>1923</v>
      </c>
      <c r="F782" s="4">
        <v>1</v>
      </c>
    </row>
    <row r="783" spans="1:6" x14ac:dyDescent="0.45">
      <c r="A783" t="s">
        <v>1924</v>
      </c>
      <c r="B783" t="str">
        <f>_xlfn.REGEXREPLACE([1]query1!B783, "https://doi.org/", "")</f>
        <v>10.5194/egusphere-2024-1031-rc3</v>
      </c>
      <c r="C783">
        <v>0</v>
      </c>
      <c r="D783" s="4" t="s">
        <v>1925</v>
      </c>
      <c r="E783" s="4" t="s">
        <v>1926</v>
      </c>
      <c r="F783" s="4">
        <v>1</v>
      </c>
    </row>
    <row r="784" spans="1:6" x14ac:dyDescent="0.45">
      <c r="A784" t="s">
        <v>1924</v>
      </c>
      <c r="B784" t="str">
        <f>_xlfn.REGEXREPLACE([1]query1!B784, "https://doi.org/", "")</f>
        <v>10.5194/egusphere-2024-1031-rc2</v>
      </c>
      <c r="C784">
        <v>0</v>
      </c>
      <c r="D784" s="4" t="s">
        <v>1927</v>
      </c>
      <c r="E784" s="4" t="s">
        <v>1928</v>
      </c>
      <c r="F784" s="4">
        <v>1</v>
      </c>
    </row>
    <row r="785" spans="1:6" x14ac:dyDescent="0.45">
      <c r="A785" t="s">
        <v>1929</v>
      </c>
      <c r="B785" t="str">
        <f>_xlfn.REGEXREPLACE([1]query1!B785, "https://doi.org/", "")</f>
        <v>10.5194/egusphere-egu21-16599</v>
      </c>
      <c r="C785">
        <v>0</v>
      </c>
      <c r="D785" s="4" t="s">
        <v>1930</v>
      </c>
      <c r="E785" s="4" t="s">
        <v>1931</v>
      </c>
      <c r="F785" s="4">
        <v>1</v>
      </c>
    </row>
    <row r="786" spans="1:6" x14ac:dyDescent="0.45">
      <c r="A786" t="s">
        <v>1932</v>
      </c>
      <c r="B786" t="str">
        <f>_xlfn.REGEXREPLACE([1]query1!B786, "https://doi.org/", "")</f>
        <v>10.1101/2024.08.13.24311932</v>
      </c>
      <c r="C786">
        <v>0</v>
      </c>
      <c r="D786" s="4" t="s">
        <v>1448</v>
      </c>
      <c r="E786" s="4" t="s">
        <v>1933</v>
      </c>
      <c r="F786" s="4">
        <v>1</v>
      </c>
    </row>
    <row r="787" spans="1:6" x14ac:dyDescent="0.45">
      <c r="A787" t="s">
        <v>1934</v>
      </c>
      <c r="B787" t="str">
        <f>_xlfn.REGEXREPLACE([1]query1!B787, "https://doi.org/", "")</f>
        <v>10.5194/egusphere-egu23-8382</v>
      </c>
      <c r="C787">
        <v>0</v>
      </c>
      <c r="D787" s="4" t="s">
        <v>1627</v>
      </c>
      <c r="E787" s="4" t="s">
        <v>1935</v>
      </c>
      <c r="F787" s="4">
        <v>1</v>
      </c>
    </row>
    <row r="788" spans="1:6" x14ac:dyDescent="0.45">
      <c r="A788" t="s">
        <v>1936</v>
      </c>
      <c r="B788" t="str">
        <f>_xlfn.REGEXREPLACE([1]query1!B788, "https://doi.org/", "")</f>
        <v>10.1136/sextrans-2021-sti.185</v>
      </c>
      <c r="C788">
        <v>0</v>
      </c>
      <c r="D788" s="4" t="s">
        <v>1574</v>
      </c>
      <c r="E788" s="4" t="s">
        <v>1937</v>
      </c>
      <c r="F788" s="4">
        <v>1</v>
      </c>
    </row>
    <row r="789" spans="1:6" x14ac:dyDescent="0.45">
      <c r="A789" t="s">
        <v>1938</v>
      </c>
      <c r="B789" t="str">
        <f>_xlfn.REGEXREPLACE([1]query1!B789, "https://doi.org/", "")</f>
        <v/>
      </c>
      <c r="C789">
        <v>0</v>
      </c>
      <c r="D789" s="4" t="s">
        <v>1778</v>
      </c>
      <c r="E789" s="4" t="s">
        <v>1939</v>
      </c>
      <c r="F789" s="4">
        <v>1</v>
      </c>
    </row>
    <row r="790" spans="1:6" x14ac:dyDescent="0.45">
      <c r="A790" t="s">
        <v>1940</v>
      </c>
      <c r="B790" t="str">
        <f>_xlfn.REGEXREPLACE([1]query1!B790, "https://doi.org/", "")</f>
        <v>10.1017/s0266466620000225</v>
      </c>
      <c r="C790">
        <v>0</v>
      </c>
      <c r="D790" s="4" t="s">
        <v>1941</v>
      </c>
      <c r="E790" s="4" t="s">
        <v>1942</v>
      </c>
      <c r="F790" s="4">
        <v>1</v>
      </c>
    </row>
    <row r="791" spans="1:6" x14ac:dyDescent="0.45">
      <c r="A791" t="s">
        <v>1943</v>
      </c>
      <c r="B791" t="str">
        <f>_xlfn.REGEXREPLACE([1]query1!B791, "https://doi.org/", "")</f>
        <v>10.5281/zenodo.5140084</v>
      </c>
      <c r="C791">
        <v>0</v>
      </c>
      <c r="D791" s="4" t="s">
        <v>825</v>
      </c>
      <c r="E791" s="4" t="s">
        <v>1944</v>
      </c>
      <c r="F791" s="4">
        <v>1</v>
      </c>
    </row>
    <row r="792" spans="1:6" x14ac:dyDescent="0.45">
      <c r="A792" t="s">
        <v>1945</v>
      </c>
      <c r="B792" t="str">
        <f>_xlfn.REGEXREPLACE([1]query1!B792, "https://doi.org/", "")</f>
        <v>10.1109/jsen.2024.3393354</v>
      </c>
      <c r="C792">
        <v>0</v>
      </c>
      <c r="D792" s="4" t="s">
        <v>1776</v>
      </c>
      <c r="E792" s="4" t="s">
        <v>1946</v>
      </c>
      <c r="F792" s="4">
        <v>1</v>
      </c>
    </row>
    <row r="793" spans="1:6" x14ac:dyDescent="0.45">
      <c r="A793" t="s">
        <v>1943</v>
      </c>
      <c r="B793" t="str">
        <f>_xlfn.REGEXREPLACE([1]query1!B793, "https://doi.org/", "")</f>
        <v>10.5281/zenodo.4776965</v>
      </c>
      <c r="C793">
        <v>0</v>
      </c>
      <c r="D793" s="4" t="s">
        <v>1947</v>
      </c>
      <c r="E793" s="4" t="s">
        <v>1948</v>
      </c>
      <c r="F793" s="4">
        <v>1</v>
      </c>
    </row>
    <row r="794" spans="1:6" x14ac:dyDescent="0.45">
      <c r="A794" t="s">
        <v>1949</v>
      </c>
      <c r="B794" t="str">
        <f>_xlfn.REGEXREPLACE([1]query1!B794, "https://doi.org/", "")</f>
        <v>10.1145/3431920.3439459</v>
      </c>
      <c r="C794">
        <v>0</v>
      </c>
      <c r="D794" s="4" t="s">
        <v>1634</v>
      </c>
      <c r="E794" s="4" t="s">
        <v>1950</v>
      </c>
      <c r="F794" s="4">
        <v>1</v>
      </c>
    </row>
    <row r="795" spans="1:6" x14ac:dyDescent="0.45">
      <c r="A795" t="s">
        <v>1233</v>
      </c>
      <c r="B795" t="str">
        <f>_xlfn.REGEXREPLACE([1]query1!B795, "https://doi.org/", "")</f>
        <v>10.1016/j.cpc.2021.108113</v>
      </c>
      <c r="C795">
        <v>0</v>
      </c>
      <c r="D795" s="4" t="s">
        <v>1540</v>
      </c>
      <c r="E795" s="4" t="s">
        <v>1951</v>
      </c>
      <c r="F795" s="4">
        <v>1</v>
      </c>
    </row>
    <row r="796" spans="1:6" x14ac:dyDescent="0.45">
      <c r="A796" t="s">
        <v>1952</v>
      </c>
      <c r="B796" t="str">
        <f>_xlfn.REGEXREPLACE([1]query1!B796, "https://doi.org/", "")</f>
        <v>10.5281/zenodo.5661232</v>
      </c>
      <c r="C796">
        <v>0</v>
      </c>
      <c r="D796" s="4" t="s">
        <v>1361</v>
      </c>
      <c r="E796" s="4" t="s">
        <v>1953</v>
      </c>
      <c r="F796" s="4">
        <v>1</v>
      </c>
    </row>
    <row r="797" spans="1:6" x14ac:dyDescent="0.45">
      <c r="A797" t="s">
        <v>1954</v>
      </c>
      <c r="B797" t="str">
        <f>_xlfn.REGEXREPLACE([1]query1!B797, "https://doi.org/", "")</f>
        <v>10.1137/21s1420551</v>
      </c>
      <c r="C797">
        <v>0</v>
      </c>
      <c r="D797" s="4" t="s">
        <v>1640</v>
      </c>
      <c r="E797" s="4" t="s">
        <v>1955</v>
      </c>
      <c r="F797" s="4">
        <v>1</v>
      </c>
    </row>
    <row r="798" spans="1:6" x14ac:dyDescent="0.45">
      <c r="A798" t="s">
        <v>1952</v>
      </c>
      <c r="B798" t="str">
        <f>_xlfn.REGEXREPLACE([1]query1!B798, "https://doi.org/", "")</f>
        <v>10.5281/zenodo.5661231</v>
      </c>
      <c r="C798">
        <v>0</v>
      </c>
      <c r="D798" s="4" t="s">
        <v>1956</v>
      </c>
      <c r="E798" s="4" t="s">
        <v>1957</v>
      </c>
      <c r="F798" s="4">
        <v>1</v>
      </c>
    </row>
    <row r="799" spans="1:6" x14ac:dyDescent="0.45">
      <c r="A799" t="s">
        <v>1958</v>
      </c>
      <c r="B799" t="str">
        <f>_xlfn.REGEXREPLACE([1]query1!B799, "https://doi.org/", "")</f>
        <v>10.29363/nanoge.matsus.2024.301</v>
      </c>
      <c r="C799">
        <v>0</v>
      </c>
      <c r="D799" s="4" t="s">
        <v>1959</v>
      </c>
      <c r="E799" s="4" t="s">
        <v>1960</v>
      </c>
      <c r="F799" s="4">
        <v>1</v>
      </c>
    </row>
    <row r="800" spans="1:6" x14ac:dyDescent="0.45">
      <c r="A800" t="s">
        <v>1961</v>
      </c>
      <c r="B800" t="str">
        <f>_xlfn.REGEXREPLACE([1]query1!B800, "https://doi.org/", "")</f>
        <v>10.1029/2024rs008068</v>
      </c>
      <c r="C800">
        <v>0</v>
      </c>
      <c r="D800" s="4" t="s">
        <v>1702</v>
      </c>
      <c r="E800" s="4" t="s">
        <v>1962</v>
      </c>
      <c r="F800" s="4">
        <v>1</v>
      </c>
    </row>
    <row r="801" spans="1:6" x14ac:dyDescent="0.45">
      <c r="A801" t="s">
        <v>1963</v>
      </c>
      <c r="B801" t="str">
        <f>_xlfn.REGEXREPLACE([1]query1!B801, "https://doi.org/", "")</f>
        <v>10.5194/tc-2022-29-ac1</v>
      </c>
      <c r="C801">
        <v>0</v>
      </c>
      <c r="D801" s="4" t="s">
        <v>1711</v>
      </c>
      <c r="E801" s="4" t="s">
        <v>1964</v>
      </c>
      <c r="F801" s="4">
        <v>1</v>
      </c>
    </row>
    <row r="802" spans="1:6" x14ac:dyDescent="0.45">
      <c r="A802" t="s">
        <v>1918</v>
      </c>
      <c r="B802" t="str">
        <f>_xlfn.REGEXREPLACE([1]query1!B802, "https://doi.org/", "")</f>
        <v>10.5194/egusphere-2024-871-ac1</v>
      </c>
      <c r="C802">
        <v>0</v>
      </c>
      <c r="D802" s="4" t="s">
        <v>1965</v>
      </c>
      <c r="E802" s="4" t="s">
        <v>1966</v>
      </c>
      <c r="F802" s="4">
        <v>1</v>
      </c>
    </row>
    <row r="803" spans="1:6" x14ac:dyDescent="0.45">
      <c r="A803" t="s">
        <v>1877</v>
      </c>
      <c r="B803" t="str">
        <f>_xlfn.REGEXREPLACE([1]query1!B803, "https://doi.org/", "")</f>
        <v>10.5194/egusphere-2024-871-ac3</v>
      </c>
      <c r="C803">
        <v>0</v>
      </c>
      <c r="D803" s="4" t="s">
        <v>1529</v>
      </c>
      <c r="E803" s="4" t="s">
        <v>1967</v>
      </c>
      <c r="F803" s="4">
        <v>1</v>
      </c>
    </row>
    <row r="804" spans="1:6" x14ac:dyDescent="0.45">
      <c r="A804" t="s">
        <v>1968</v>
      </c>
      <c r="B804" t="str">
        <f>_xlfn.REGEXREPLACE([1]query1!B804, "https://doi.org/", "")</f>
        <v>10.5194/egusphere-2024-871-cc1</v>
      </c>
      <c r="C804">
        <v>0</v>
      </c>
      <c r="D804" s="4" t="s">
        <v>1969</v>
      </c>
      <c r="E804" s="4" t="s">
        <v>1970</v>
      </c>
      <c r="F804" s="4">
        <v>1</v>
      </c>
    </row>
    <row r="805" spans="1:6" x14ac:dyDescent="0.45">
      <c r="A805" t="s">
        <v>1883</v>
      </c>
      <c r="B805" t="str">
        <f>_xlfn.REGEXREPLACE([1]query1!B805, "https://doi.org/", "")</f>
        <v>10.5194/egusphere-2024-871-ac2</v>
      </c>
      <c r="C805">
        <v>0</v>
      </c>
      <c r="D805" s="4" t="s">
        <v>1971</v>
      </c>
      <c r="E805" s="4"/>
      <c r="F805" s="4">
        <v>1</v>
      </c>
    </row>
    <row r="806" spans="1:6" x14ac:dyDescent="0.45">
      <c r="A806" t="s">
        <v>1972</v>
      </c>
      <c r="B806" t="str">
        <f>_xlfn.REGEXREPLACE([1]query1!B806, "https://doi.org/", "")</f>
        <v>10.1109/uemcon59035.2023.10315990</v>
      </c>
      <c r="C806">
        <v>0</v>
      </c>
      <c r="D806" s="4" t="s">
        <v>1973</v>
      </c>
      <c r="E806" s="4"/>
      <c r="F806" s="4">
        <v>1</v>
      </c>
    </row>
    <row r="807" spans="1:6" x14ac:dyDescent="0.45">
      <c r="A807" t="s">
        <v>1974</v>
      </c>
      <c r="B807" t="str">
        <f>_xlfn.REGEXREPLACE([1]query1!B807, "https://doi.org/", "")</f>
        <v>10.1101/2020.07.30.229286</v>
      </c>
      <c r="C807">
        <v>0</v>
      </c>
      <c r="D807" s="4" t="s">
        <v>1975</v>
      </c>
      <c r="E807" s="4" t="s">
        <v>1976</v>
      </c>
      <c r="F807" s="4">
        <v>1</v>
      </c>
    </row>
    <row r="808" spans="1:6" x14ac:dyDescent="0.45">
      <c r="A808" t="s">
        <v>1977</v>
      </c>
      <c r="B808" t="str">
        <f>_xlfn.REGEXREPLACE([1]query1!B808, "https://doi.org/", "")</f>
        <v>10.23919/eucap60739.2024.10501508</v>
      </c>
      <c r="C808">
        <v>0</v>
      </c>
      <c r="D808" s="4" t="s">
        <v>1978</v>
      </c>
      <c r="E808" s="4" t="s">
        <v>1979</v>
      </c>
      <c r="F808" s="4">
        <v>1</v>
      </c>
    </row>
    <row r="809" spans="1:6" x14ac:dyDescent="0.45">
      <c r="A809" t="s">
        <v>544</v>
      </c>
      <c r="B809" t="str">
        <f>_xlfn.REGEXREPLACE([1]query1!B809, "https://doi.org/", "")</f>
        <v>10.48550/arxiv.2011.03125</v>
      </c>
      <c r="C809">
        <v>0</v>
      </c>
      <c r="D809" s="4" t="s">
        <v>1507</v>
      </c>
      <c r="E809" s="4" t="s">
        <v>1980</v>
      </c>
      <c r="F809" s="4">
        <v>1</v>
      </c>
    </row>
    <row r="810" spans="1:6" x14ac:dyDescent="0.45">
      <c r="A810" t="s">
        <v>1981</v>
      </c>
      <c r="B810" t="str">
        <f>_xlfn.REGEXREPLACE([1]query1!B810, "https://doi.org/", "")</f>
        <v>10.1175/jas-d-23-0092.1</v>
      </c>
      <c r="C810">
        <v>0</v>
      </c>
      <c r="D810" s="4" t="s">
        <v>1982</v>
      </c>
      <c r="E810" s="4" t="s">
        <v>1983</v>
      </c>
      <c r="F810" s="4">
        <v>1</v>
      </c>
    </row>
    <row r="811" spans="1:6" x14ac:dyDescent="0.45">
      <c r="A811" t="s">
        <v>878</v>
      </c>
      <c r="B811" t="str">
        <f>_xlfn.REGEXREPLACE([1]query1!B811, "https://doi.org/", "")</f>
        <v>10.31223/x5f96t</v>
      </c>
      <c r="C811">
        <v>0</v>
      </c>
      <c r="D811" s="4" t="s">
        <v>1753</v>
      </c>
      <c r="E811" s="4" t="s">
        <v>1984</v>
      </c>
      <c r="F811" s="4">
        <v>1</v>
      </c>
    </row>
    <row r="812" spans="1:6" x14ac:dyDescent="0.45">
      <c r="A812" t="s">
        <v>1985</v>
      </c>
      <c r="B812" t="str">
        <f>_xlfn.REGEXREPLACE([1]query1!B812, "https://doi.org/", "")</f>
        <v>10.2139/ssrn.4225473</v>
      </c>
      <c r="C812">
        <v>0</v>
      </c>
      <c r="D812" s="4" t="s">
        <v>1755</v>
      </c>
      <c r="E812" s="4" t="s">
        <v>1986</v>
      </c>
      <c r="F812" s="4">
        <v>1</v>
      </c>
    </row>
    <row r="813" spans="1:6" x14ac:dyDescent="0.45">
      <c r="A813" t="s">
        <v>1987</v>
      </c>
      <c r="B813" t="str">
        <f>_xlfn.REGEXREPLACE([1]query1!B813, "https://doi.org/", "")</f>
        <v>10.1007/978-3-031-10417-6_140-1</v>
      </c>
      <c r="C813">
        <v>0</v>
      </c>
      <c r="D813" s="4" t="s">
        <v>1988</v>
      </c>
      <c r="E813" s="4" t="s">
        <v>1989</v>
      </c>
      <c r="F813" s="4">
        <v>1</v>
      </c>
    </row>
    <row r="814" spans="1:6" x14ac:dyDescent="0.45">
      <c r="A814" t="s">
        <v>1990</v>
      </c>
      <c r="B814" t="str">
        <f>_xlfn.REGEXREPLACE([1]query1!B814, "https://doi.org/", "")</f>
        <v>10.1109/ap-s/inc-usnc-ursi52054.2024.10687142</v>
      </c>
      <c r="C814">
        <v>0</v>
      </c>
      <c r="D814" s="4" t="s">
        <v>1991</v>
      </c>
      <c r="E814" s="4" t="s">
        <v>1992</v>
      </c>
      <c r="F814" s="4">
        <v>1</v>
      </c>
    </row>
    <row r="815" spans="1:6" x14ac:dyDescent="0.45">
      <c r="A815" t="s">
        <v>1987</v>
      </c>
      <c r="B815" t="str">
        <f>_xlfn.REGEXREPLACE([1]query1!B815, "https://doi.org/", "")</f>
        <v>10.1007/978-3-031-50256-9_140</v>
      </c>
      <c r="C815">
        <v>0</v>
      </c>
      <c r="D815" s="4" t="s">
        <v>1625</v>
      </c>
      <c r="E815" s="4" t="s">
        <v>1993</v>
      </c>
      <c r="F815" s="4">
        <v>1</v>
      </c>
    </row>
    <row r="816" spans="1:6" x14ac:dyDescent="0.45">
      <c r="A816" t="s">
        <v>1994</v>
      </c>
      <c r="B816" t="str">
        <f>_xlfn.REGEXREPLACE([1]query1!B816, "https://doi.org/", "")</f>
        <v>10.1109/emts57498.2023.10925301</v>
      </c>
      <c r="C816">
        <v>0</v>
      </c>
      <c r="D816" s="4" t="s">
        <v>1025</v>
      </c>
      <c r="E816" s="4" t="s">
        <v>1995</v>
      </c>
      <c r="F816" s="4">
        <v>1</v>
      </c>
    </row>
    <row r="817" spans="1:6" x14ac:dyDescent="0.45">
      <c r="A817" t="s">
        <v>1794</v>
      </c>
      <c r="B817" t="str">
        <f>_xlfn.REGEXREPLACE([1]query1!B817, "https://doi.org/", "")</f>
        <v>10.1109/emts57498.2023.10925224</v>
      </c>
      <c r="C817">
        <v>0</v>
      </c>
      <c r="D817" s="4" t="s">
        <v>1996</v>
      </c>
      <c r="E817" s="4" t="s">
        <v>1997</v>
      </c>
      <c r="F817" s="4">
        <v>1</v>
      </c>
    </row>
    <row r="818" spans="1:6" x14ac:dyDescent="0.45">
      <c r="A818" t="s">
        <v>1998</v>
      </c>
      <c r="B818" t="str">
        <f>_xlfn.REGEXREPLACE([1]query1!B818, "https://doi.org/", "")</f>
        <v>10.1016/j.dib.2022.108311</v>
      </c>
      <c r="C818">
        <v>0</v>
      </c>
      <c r="D818" s="4" t="s">
        <v>1999</v>
      </c>
      <c r="E818" s="4" t="s">
        <v>2000</v>
      </c>
      <c r="F818" s="4">
        <v>1</v>
      </c>
    </row>
    <row r="819" spans="1:6" x14ac:dyDescent="0.45">
      <c r="A819" t="s">
        <v>2001</v>
      </c>
      <c r="B819" t="str">
        <f>_xlfn.REGEXREPLACE([1]query1!B819, "https://doi.org/", "")</f>
        <v>10.1002/smll.202470366</v>
      </c>
      <c r="C819">
        <v>0</v>
      </c>
      <c r="D819" s="4" t="s">
        <v>1483</v>
      </c>
      <c r="E819" s="4" t="s">
        <v>2002</v>
      </c>
      <c r="F819" s="4">
        <v>1</v>
      </c>
    </row>
    <row r="820" spans="1:6" x14ac:dyDescent="0.45">
      <c r="A820" t="s">
        <v>2003</v>
      </c>
      <c r="B820" t="str">
        <f>_xlfn.REGEXREPLACE([1]query1!B820, "https://doi.org/", "")</f>
        <v>10.1109/ieeeconf35879.2020.9330408</v>
      </c>
      <c r="C820">
        <v>0</v>
      </c>
      <c r="D820" s="4" t="s">
        <v>1611</v>
      </c>
      <c r="E820" s="4" t="s">
        <v>2004</v>
      </c>
      <c r="F820" s="4">
        <v>1</v>
      </c>
    </row>
    <row r="821" spans="1:6" x14ac:dyDescent="0.45">
      <c r="A821" t="s">
        <v>2005</v>
      </c>
      <c r="B821" t="str">
        <f>_xlfn.REGEXREPLACE([1]query1!B821, "https://doi.org/", "")</f>
        <v>10.22323/1.449.0598</v>
      </c>
      <c r="C821">
        <v>0</v>
      </c>
      <c r="D821" s="4" t="s">
        <v>1546</v>
      </c>
      <c r="E821" s="4" t="s">
        <v>2006</v>
      </c>
      <c r="F821" s="4">
        <v>1</v>
      </c>
    </row>
    <row r="822" spans="1:6" x14ac:dyDescent="0.45">
      <c r="A822" t="s">
        <v>2007</v>
      </c>
      <c r="B822" t="str">
        <f>_xlfn.REGEXREPLACE([1]query1!B822, "https://doi.org/", "")</f>
        <v>10.1109/ecce47101.2021.9595229</v>
      </c>
      <c r="C822">
        <v>0</v>
      </c>
      <c r="D822" s="4" t="s">
        <v>2008</v>
      </c>
      <c r="E822" s="4" t="s">
        <v>2009</v>
      </c>
      <c r="F822" s="4">
        <v>1</v>
      </c>
    </row>
    <row r="823" spans="1:6" x14ac:dyDescent="0.45">
      <c r="A823" t="s">
        <v>2010</v>
      </c>
      <c r="B823" t="str">
        <f>_xlfn.REGEXREPLACE([1]query1!B823, "https://doi.org/", "")</f>
        <v>10.1117/12.2609965</v>
      </c>
      <c r="C823">
        <v>0</v>
      </c>
      <c r="D823" s="4" t="s">
        <v>2011</v>
      </c>
      <c r="E823" s="4" t="s">
        <v>2012</v>
      </c>
      <c r="F823" s="4">
        <v>1</v>
      </c>
    </row>
    <row r="824" spans="1:6" x14ac:dyDescent="0.45">
      <c r="A824" t="s">
        <v>1403</v>
      </c>
      <c r="B824" t="str">
        <f>_xlfn.REGEXREPLACE([1]query1!B824, "https://doi.org/", "")</f>
        <v>10.1016/j.apal.2020.102796</v>
      </c>
      <c r="C824">
        <v>0</v>
      </c>
      <c r="D824" s="4" t="s">
        <v>2013</v>
      </c>
      <c r="E824" s="4" t="s">
        <v>2014</v>
      </c>
      <c r="F824" s="4">
        <v>1</v>
      </c>
    </row>
    <row r="825" spans="1:6" x14ac:dyDescent="0.45">
      <c r="A825" t="s">
        <v>2015</v>
      </c>
      <c r="B825" t="str">
        <f>_xlfn.REGEXREPLACE([1]query1!B825, "https://doi.org/", "")</f>
        <v>10.48550/arxiv.2010.04305</v>
      </c>
      <c r="C825">
        <v>0</v>
      </c>
      <c r="D825" s="4" t="s">
        <v>1204</v>
      </c>
      <c r="E825" s="4" t="s">
        <v>2016</v>
      </c>
      <c r="F825" s="4">
        <v>1</v>
      </c>
    </row>
    <row r="826" spans="1:6" x14ac:dyDescent="0.45">
      <c r="A826" t="s">
        <v>2017</v>
      </c>
      <c r="B826" t="str">
        <f>_xlfn.REGEXREPLACE([1]query1!B826, "https://doi.org/", "")</f>
        <v>10.36227/techrxiv.173145101.12229004/v1</v>
      </c>
      <c r="C826">
        <v>0</v>
      </c>
      <c r="D826" s="4" t="s">
        <v>2018</v>
      </c>
      <c r="E826" s="4" t="s">
        <v>2019</v>
      </c>
      <c r="F826" s="4">
        <v>1</v>
      </c>
    </row>
    <row r="827" spans="1:6" x14ac:dyDescent="0.45">
      <c r="A827" t="s">
        <v>2020</v>
      </c>
      <c r="B827" t="str">
        <f>_xlfn.REGEXREPLACE([1]query1!B827, "https://doi.org/", "")</f>
        <v>10.48550/arxiv.2010.03933</v>
      </c>
      <c r="C827">
        <v>0</v>
      </c>
      <c r="D827" s="4" t="s">
        <v>1638</v>
      </c>
      <c r="E827" s="4" t="s">
        <v>2021</v>
      </c>
      <c r="F827" s="4">
        <v>1</v>
      </c>
    </row>
    <row r="828" spans="1:6" x14ac:dyDescent="0.45">
      <c r="A828" t="s">
        <v>1055</v>
      </c>
      <c r="B828" t="str">
        <f>_xlfn.REGEXREPLACE([1]query1!B828, "https://doi.org/", "")</f>
        <v>10.1103/physreve.106.l022103</v>
      </c>
      <c r="C828">
        <v>0</v>
      </c>
      <c r="D828" s="4" t="s">
        <v>2022</v>
      </c>
      <c r="E828" s="4" t="s">
        <v>2023</v>
      </c>
      <c r="F828" s="4">
        <v>1</v>
      </c>
    </row>
    <row r="829" spans="1:6" x14ac:dyDescent="0.45">
      <c r="A829" t="s">
        <v>2024</v>
      </c>
      <c r="B829" t="str">
        <f>_xlfn.REGEXREPLACE([1]query1!B829, "https://doi.org/", "")</f>
        <v>10.1007/978-3-031-59254-6_5</v>
      </c>
      <c r="C829">
        <v>0</v>
      </c>
      <c r="D829" s="4" t="s">
        <v>2025</v>
      </c>
      <c r="E829" s="4" t="s">
        <v>2026</v>
      </c>
      <c r="F829" s="4">
        <v>1</v>
      </c>
    </row>
    <row r="830" spans="1:6" x14ac:dyDescent="0.45">
      <c r="A830" t="s">
        <v>2027</v>
      </c>
      <c r="B830" t="str">
        <f>_xlfn.REGEXREPLACE([1]query1!B830, "https://doi.org/", "")</f>
        <v>10.22541/essoar.172736254.41350153/v1</v>
      </c>
      <c r="C830">
        <v>0</v>
      </c>
      <c r="D830" s="4" t="s">
        <v>1676</v>
      </c>
      <c r="E830" s="4" t="s">
        <v>2028</v>
      </c>
      <c r="F830" s="4">
        <v>1</v>
      </c>
    </row>
    <row r="831" spans="1:6" x14ac:dyDescent="0.45">
      <c r="A831" t="s">
        <v>2029</v>
      </c>
      <c r="B831" t="str">
        <f>_xlfn.REGEXREPLACE([1]query1!B831, "https://doi.org/", "")</f>
        <v>10.1101/2023.06.12.544410</v>
      </c>
      <c r="C831">
        <v>0</v>
      </c>
      <c r="D831" s="4" t="s">
        <v>2030</v>
      </c>
      <c r="E831" s="4" t="s">
        <v>2031</v>
      </c>
      <c r="F831" s="4">
        <v>1</v>
      </c>
    </row>
    <row r="832" spans="1:6" x14ac:dyDescent="0.45">
      <c r="A832" t="s">
        <v>2032</v>
      </c>
      <c r="B832" t="str">
        <f>_xlfn.REGEXREPLACE([1]query1!B832, "https://doi.org/", "")</f>
        <v>10.29363/nanoge.matsus.2024.316</v>
      </c>
      <c r="C832">
        <v>0</v>
      </c>
      <c r="D832" s="4" t="s">
        <v>2033</v>
      </c>
      <c r="E832" s="4" t="s">
        <v>1080</v>
      </c>
      <c r="F832" s="4">
        <v>1</v>
      </c>
    </row>
    <row r="833" spans="1:6" x14ac:dyDescent="0.45">
      <c r="A833" t="s">
        <v>2034</v>
      </c>
      <c r="B833" t="str">
        <f>_xlfn.REGEXREPLACE([1]query1!B833, "https://doi.org/", "")</f>
        <v>10.23919/ursigass51995.2021.9560579</v>
      </c>
      <c r="C833">
        <v>0</v>
      </c>
      <c r="D833" s="4" t="s">
        <v>2035</v>
      </c>
      <c r="E833" s="4" t="s">
        <v>2036</v>
      </c>
      <c r="F833" s="4">
        <v>1</v>
      </c>
    </row>
    <row r="834" spans="1:6" x14ac:dyDescent="0.45">
      <c r="A834" t="s">
        <v>2037</v>
      </c>
      <c r="B834" t="str">
        <f>_xlfn.REGEXREPLACE([1]query1!B834, "https://doi.org/", "")</f>
        <v>10.2139/ssrn.3737708</v>
      </c>
      <c r="C834">
        <v>0</v>
      </c>
      <c r="D834" s="4" t="s">
        <v>988</v>
      </c>
      <c r="E834" s="4" t="s">
        <v>2038</v>
      </c>
      <c r="F834" s="4">
        <v>1</v>
      </c>
    </row>
    <row r="835" spans="1:6" x14ac:dyDescent="0.45">
      <c r="A835" t="s">
        <v>1919</v>
      </c>
      <c r="B835" t="str">
        <f>_xlfn.REGEXREPLACE([1]query1!B835, "https://doi.org/", "")</f>
        <v>10.1109/globecom52923.2024.10901078</v>
      </c>
      <c r="C835">
        <v>0</v>
      </c>
      <c r="D835" s="4" t="s">
        <v>1658</v>
      </c>
      <c r="E835" s="4" t="s">
        <v>2039</v>
      </c>
      <c r="F835" s="4">
        <v>1</v>
      </c>
    </row>
    <row r="836" spans="1:6" x14ac:dyDescent="0.45">
      <c r="A836" t="s">
        <v>2040</v>
      </c>
      <c r="B836" t="str">
        <f>_xlfn.REGEXREPLACE([1]query1!B836, "https://doi.org/", "")</f>
        <v>10.1109/lacap63752.2024.10876332</v>
      </c>
      <c r="C836">
        <v>0</v>
      </c>
      <c r="D836" s="4" t="s">
        <v>2041</v>
      </c>
      <c r="E836" s="4" t="s">
        <v>2042</v>
      </c>
      <c r="F836" s="4">
        <v>1</v>
      </c>
    </row>
    <row r="837" spans="1:6" x14ac:dyDescent="0.45">
      <c r="A837" t="s">
        <v>2043</v>
      </c>
      <c r="B837" t="str">
        <f>_xlfn.REGEXREPLACE([1]query1!B837, "https://doi.org/", "")</f>
        <v>10.1109/iecon48115.2021.9589671</v>
      </c>
      <c r="C837">
        <v>0</v>
      </c>
      <c r="D837" s="4" t="s">
        <v>2044</v>
      </c>
      <c r="E837" s="4" t="s">
        <v>2045</v>
      </c>
      <c r="F837" s="4">
        <v>1</v>
      </c>
    </row>
    <row r="838" spans="1:6" x14ac:dyDescent="0.45">
      <c r="A838" t="s">
        <v>2046</v>
      </c>
      <c r="B838" t="str">
        <f>_xlfn.REGEXREPLACE([1]query1!B838, "https://doi.org/", "")</f>
        <v>10.1049/iet-pel.2020.0594</v>
      </c>
      <c r="C838">
        <v>0</v>
      </c>
      <c r="D838" s="4" t="s">
        <v>2047</v>
      </c>
      <c r="E838" s="4" t="s">
        <v>2048</v>
      </c>
      <c r="F838" s="4">
        <v>1</v>
      </c>
    </row>
    <row r="839" spans="1:6" x14ac:dyDescent="0.45">
      <c r="A839" t="s">
        <v>2049</v>
      </c>
      <c r="B839" t="str">
        <f>_xlfn.REGEXREPLACE([1]query1!B839, "https://doi.org/", "")</f>
        <v>10.2139/ssrn.4191884</v>
      </c>
      <c r="C839">
        <v>0</v>
      </c>
      <c r="D839" s="4" t="s">
        <v>1651</v>
      </c>
      <c r="E839" s="4" t="s">
        <v>2050</v>
      </c>
      <c r="F839" s="4">
        <v>1</v>
      </c>
    </row>
    <row r="840" spans="1:6" x14ac:dyDescent="0.45">
      <c r="A840" t="s">
        <v>2051</v>
      </c>
      <c r="B840" t="str">
        <f>_xlfn.REGEXREPLACE([1]query1!B840, "https://doi.org/", "")</f>
        <v>10.2139/ssrn.4498504</v>
      </c>
      <c r="C840">
        <v>0</v>
      </c>
      <c r="D840" s="4" t="s">
        <v>1427</v>
      </c>
      <c r="E840" s="4" t="s">
        <v>2052</v>
      </c>
      <c r="F840" s="4">
        <v>1</v>
      </c>
    </row>
    <row r="841" spans="1:6" x14ac:dyDescent="0.45">
      <c r="A841" t="s">
        <v>2053</v>
      </c>
      <c r="B841" t="str">
        <f>_xlfn.REGEXREPLACE([1]query1!B841, "https://doi.org/", "")</f>
        <v>10.1002/bimj.202300214</v>
      </c>
      <c r="C841">
        <v>0</v>
      </c>
      <c r="D841" s="4" t="s">
        <v>1647</v>
      </c>
      <c r="E841" s="4" t="s">
        <v>2054</v>
      </c>
      <c r="F841" s="4">
        <v>1</v>
      </c>
    </row>
    <row r="842" spans="1:6" x14ac:dyDescent="0.45">
      <c r="A842" t="s">
        <v>2055</v>
      </c>
      <c r="B842" t="str">
        <f>_xlfn.REGEXREPLACE([1]query1!B842, "https://doi.org/", "")</f>
        <v>10.5194/tc-2022-29</v>
      </c>
      <c r="C842">
        <v>0</v>
      </c>
      <c r="D842" s="4" t="s">
        <v>1303</v>
      </c>
      <c r="E842" s="4" t="s">
        <v>2056</v>
      </c>
      <c r="F842" s="4">
        <v>1</v>
      </c>
    </row>
    <row r="843" spans="1:6" x14ac:dyDescent="0.45">
      <c r="A843" t="s">
        <v>2057</v>
      </c>
      <c r="B843" t="str">
        <f>_xlfn.REGEXREPLACE([1]query1!B843, "https://doi.org/", "")</f>
        <v>10.5281/zenodo.6680673</v>
      </c>
      <c r="C843">
        <v>0</v>
      </c>
      <c r="D843" s="4" t="s">
        <v>2058</v>
      </c>
      <c r="E843" s="4" t="s">
        <v>2059</v>
      </c>
      <c r="F843" s="4">
        <v>1</v>
      </c>
    </row>
    <row r="844" spans="1:6" x14ac:dyDescent="0.45">
      <c r="A844" t="s">
        <v>2060</v>
      </c>
      <c r="B844" t="str">
        <f>_xlfn.REGEXREPLACE([1]query1!B844, "https://doi.org/", "")</f>
        <v>10.1101/2022.05.06.22273576</v>
      </c>
      <c r="C844">
        <v>0</v>
      </c>
      <c r="D844" s="4" t="s">
        <v>2061</v>
      </c>
      <c r="E844" s="4" t="s">
        <v>2062</v>
      </c>
      <c r="F844" s="4">
        <v>1</v>
      </c>
    </row>
    <row r="845" spans="1:6" x14ac:dyDescent="0.45">
      <c r="A845" t="s">
        <v>2063</v>
      </c>
      <c r="B845" t="str">
        <f>_xlfn.REGEXREPLACE([1]query1!B845, "https://doi.org/", "")</f>
        <v>10.5705/ss.202021.0118</v>
      </c>
      <c r="C845">
        <v>0</v>
      </c>
      <c r="D845" s="4" t="s">
        <v>1383</v>
      </c>
      <c r="E845" s="4" t="s">
        <v>2064</v>
      </c>
      <c r="F845" s="4">
        <v>1</v>
      </c>
    </row>
    <row r="846" spans="1:6" x14ac:dyDescent="0.45">
      <c r="A846" t="s">
        <v>2065</v>
      </c>
      <c r="B846" t="str">
        <f>_xlfn.REGEXREPLACE([1]query1!B846, "https://doi.org/", "")</f>
        <v>10.1109/iwcmc61514.2024.10592388</v>
      </c>
      <c r="C846">
        <v>0</v>
      </c>
      <c r="D846" s="4" t="s">
        <v>2066</v>
      </c>
      <c r="E846" s="4" t="s">
        <v>2067</v>
      </c>
      <c r="F846" s="4">
        <v>1</v>
      </c>
    </row>
    <row r="847" spans="1:6" x14ac:dyDescent="0.45">
      <c r="A847" t="s">
        <v>2068</v>
      </c>
      <c r="B847" t="str">
        <f>_xlfn.REGEXREPLACE([1]query1!B847, "https://doi.org/", "")</f>
        <v>10.5920/jcms.1246</v>
      </c>
      <c r="C847">
        <v>0</v>
      </c>
      <c r="D847" s="4" t="s">
        <v>1961</v>
      </c>
      <c r="E847" s="4" t="s">
        <v>2069</v>
      </c>
      <c r="F847" s="4">
        <v>0</v>
      </c>
    </row>
    <row r="848" spans="1:6" x14ac:dyDescent="0.45">
      <c r="A848" t="s">
        <v>2070</v>
      </c>
      <c r="B848" t="str">
        <f>_xlfn.REGEXREPLACE([1]query1!B848, "https://doi.org/", "")</f>
        <v>10.22541/au.169322239.96715154/v1</v>
      </c>
      <c r="C848">
        <v>0</v>
      </c>
      <c r="D848" s="4" t="s">
        <v>2071</v>
      </c>
      <c r="E848" s="4" t="s">
        <v>2072</v>
      </c>
      <c r="F848" s="4">
        <v>0</v>
      </c>
    </row>
    <row r="849" spans="1:6" x14ac:dyDescent="0.45">
      <c r="A849" t="s">
        <v>2073</v>
      </c>
      <c r="B849" t="str">
        <f>_xlfn.REGEXREPLACE([1]query1!B849, "https://doi.org/", "")</f>
        <v>10.2139/ssrn.4724013</v>
      </c>
      <c r="C849">
        <v>0</v>
      </c>
      <c r="D849" s="4" t="s">
        <v>2074</v>
      </c>
      <c r="E849" s="4" t="s">
        <v>2075</v>
      </c>
      <c r="F849" s="4">
        <v>0</v>
      </c>
    </row>
    <row r="850" spans="1:6" x14ac:dyDescent="0.45">
      <c r="A850" t="s">
        <v>2076</v>
      </c>
      <c r="B850" t="str">
        <f>_xlfn.REGEXREPLACE([1]query1!B850, "https://doi.org/", "")</f>
        <v>10.1109/ecce47101.2021.9595344</v>
      </c>
      <c r="C850">
        <v>0</v>
      </c>
      <c r="D850" s="4" t="s">
        <v>2077</v>
      </c>
      <c r="E850" s="4" t="s">
        <v>2078</v>
      </c>
      <c r="F850" s="4">
        <v>0</v>
      </c>
    </row>
    <row r="851" spans="1:6" x14ac:dyDescent="0.45">
      <c r="A851" t="s">
        <v>2079</v>
      </c>
      <c r="B851" t="str">
        <f>_xlfn.REGEXREPLACE([1]query1!B851, "https://doi.org/", "")</f>
        <v>10.2139/ssrn.3979616</v>
      </c>
      <c r="C851">
        <v>0</v>
      </c>
      <c r="D851" s="4" t="s">
        <v>2080</v>
      </c>
      <c r="E851" s="4"/>
      <c r="F851" s="4">
        <v>0</v>
      </c>
    </row>
    <row r="852" spans="1:6" x14ac:dyDescent="0.45">
      <c r="A852" t="s">
        <v>2081</v>
      </c>
      <c r="B852" t="str">
        <f>_xlfn.REGEXREPLACE([1]query1!B852, "https://doi.org/", "")</f>
        <v>10.2139/ssrn.4135432</v>
      </c>
      <c r="C852">
        <v>0</v>
      </c>
      <c r="D852" s="4" t="s">
        <v>1832</v>
      </c>
      <c r="E852" s="4" t="s">
        <v>2082</v>
      </c>
      <c r="F852" s="4">
        <v>0</v>
      </c>
    </row>
    <row r="853" spans="1:6" x14ac:dyDescent="0.45">
      <c r="A853" t="s">
        <v>2083</v>
      </c>
      <c r="B853" t="str">
        <f>_xlfn.REGEXREPLACE([1]query1!B853, "https://doi.org/", "")</f>
        <v>10.3390/books978-3-03928-181-7</v>
      </c>
      <c r="C853">
        <v>0</v>
      </c>
      <c r="D853" s="4" t="s">
        <v>2084</v>
      </c>
      <c r="E853" s="4" t="s">
        <v>2085</v>
      </c>
      <c r="F853" s="4">
        <v>0</v>
      </c>
    </row>
    <row r="854" spans="1:6" x14ac:dyDescent="0.45">
      <c r="A854" t="s">
        <v>2086</v>
      </c>
      <c r="B854" t="str">
        <f>_xlfn.REGEXREPLACE([1]query1!B854, "https://doi.org/", "")</f>
        <v>10.23919/iccas63016.2024.10773227</v>
      </c>
      <c r="C854">
        <v>0</v>
      </c>
      <c r="D854" s="4" t="s">
        <v>1981</v>
      </c>
      <c r="E854" s="4" t="s">
        <v>2087</v>
      </c>
      <c r="F854" s="4">
        <v>0</v>
      </c>
    </row>
    <row r="855" spans="1:6" x14ac:dyDescent="0.45">
      <c r="A855" t="s">
        <v>2088</v>
      </c>
      <c r="B855" t="str">
        <f>_xlfn.REGEXREPLACE([1]query1!B855, "https://doi.org/", "")</f>
        <v>10.5281/zenodo.5358393</v>
      </c>
      <c r="C855">
        <v>0</v>
      </c>
      <c r="D855" s="4" t="s">
        <v>2089</v>
      </c>
      <c r="E855" s="4" t="s">
        <v>2090</v>
      </c>
      <c r="F855" s="4">
        <v>0</v>
      </c>
    </row>
    <row r="856" spans="1:6" x14ac:dyDescent="0.45">
      <c r="A856" t="s">
        <v>2044</v>
      </c>
      <c r="B856" t="str">
        <f>_xlfn.REGEXREPLACE([1]query1!B856, "https://doi.org/", "")</f>
        <v>10.1109/sege49949.2020.9182001</v>
      </c>
      <c r="C856">
        <v>0</v>
      </c>
      <c r="D856" s="4" t="s">
        <v>1164</v>
      </c>
      <c r="E856" s="4" t="s">
        <v>2091</v>
      </c>
      <c r="F856" s="4">
        <v>0</v>
      </c>
    </row>
    <row r="857" spans="1:6" x14ac:dyDescent="0.45">
      <c r="A857" t="s">
        <v>2088</v>
      </c>
      <c r="B857" t="str">
        <f>_xlfn.REGEXREPLACE([1]query1!B857, "https://doi.org/", "")</f>
        <v>10.5281/zenodo.5358394</v>
      </c>
      <c r="C857">
        <v>0</v>
      </c>
      <c r="D857" s="4" t="s">
        <v>2092</v>
      </c>
      <c r="E857" s="4"/>
      <c r="F857" s="4">
        <v>0</v>
      </c>
    </row>
    <row r="858" spans="1:6" x14ac:dyDescent="0.45">
      <c r="A858" t="s">
        <v>1141</v>
      </c>
      <c r="B858" t="str">
        <f>_xlfn.REGEXREPLACE([1]query1!B858, "https://doi.org/", "")</f>
        <v>10.1093/ectj/utab025</v>
      </c>
      <c r="C858">
        <v>0</v>
      </c>
      <c r="D858" s="4" t="s">
        <v>2093</v>
      </c>
      <c r="E858" s="4"/>
      <c r="F858" s="4">
        <v>0</v>
      </c>
    </row>
    <row r="859" spans="1:6" x14ac:dyDescent="0.45">
      <c r="A859" t="s">
        <v>2094</v>
      </c>
      <c r="B859" t="str">
        <f>_xlfn.REGEXREPLACE([1]query1!B859, "https://doi.org/", "")</f>
        <v>10.1109/icecie58751.2024.10457409</v>
      </c>
      <c r="C859">
        <v>0</v>
      </c>
      <c r="D859" s="4" t="s">
        <v>2095</v>
      </c>
      <c r="E859" s="4"/>
      <c r="F859" s="4">
        <v>0</v>
      </c>
    </row>
    <row r="860" spans="1:6" x14ac:dyDescent="0.45">
      <c r="A860" t="s">
        <v>174</v>
      </c>
      <c r="B860" t="str">
        <f>_xlfn.REGEXREPLACE([1]query1!B860, "https://doi.org/", "")</f>
        <v>10.1145/3476576.3476650</v>
      </c>
      <c r="C860">
        <v>0</v>
      </c>
      <c r="D860" s="4" t="s">
        <v>2096</v>
      </c>
      <c r="E860" s="4" t="s">
        <v>2097</v>
      </c>
      <c r="F860" s="4">
        <v>0</v>
      </c>
    </row>
    <row r="861" spans="1:6" x14ac:dyDescent="0.45">
      <c r="A861" t="s">
        <v>1699</v>
      </c>
      <c r="B861" t="str">
        <f>_xlfn.REGEXREPLACE([1]query1!B861, "https://doi.org/", "")</f>
        <v>10.47004/wp.cem.2023.2223</v>
      </c>
      <c r="C861">
        <v>0</v>
      </c>
      <c r="D861" s="4" t="s">
        <v>2098</v>
      </c>
      <c r="E861" s="4" t="s">
        <v>2099</v>
      </c>
      <c r="F861" s="4">
        <v>0</v>
      </c>
    </row>
    <row r="862" spans="1:6" x14ac:dyDescent="0.45">
      <c r="A862" t="s">
        <v>2100</v>
      </c>
      <c r="B862" t="str">
        <f>_xlfn.REGEXREPLACE([1]query1!B862, "https://doi.org/", "")</f>
        <v>10.1109/globecom52923.2024.10901118</v>
      </c>
      <c r="C862">
        <v>0</v>
      </c>
      <c r="D862" s="4" t="s">
        <v>1945</v>
      </c>
      <c r="E862" s="4" t="s">
        <v>2101</v>
      </c>
      <c r="F862" s="4">
        <v>0</v>
      </c>
    </row>
    <row r="863" spans="1:6" x14ac:dyDescent="0.45">
      <c r="A863" t="s">
        <v>2102</v>
      </c>
      <c r="B863" t="str">
        <f>_xlfn.REGEXREPLACE([1]query1!B863, "https://doi.org/", "")</f>
        <v>10.21203/rs.3.rs-3688727/v1</v>
      </c>
      <c r="C863">
        <v>0</v>
      </c>
      <c r="D863" s="4" t="s">
        <v>2103</v>
      </c>
      <c r="E863" s="4" t="s">
        <v>2104</v>
      </c>
      <c r="F863" s="4">
        <v>0</v>
      </c>
    </row>
    <row r="864" spans="1:6" x14ac:dyDescent="0.45">
      <c r="A864" t="s">
        <v>1699</v>
      </c>
      <c r="B864" t="str">
        <f>_xlfn.REGEXREPLACE([1]query1!B864, "https://doi.org/", "")</f>
        <v>10.47004/wp.cem.2021.1821</v>
      </c>
      <c r="C864">
        <v>0</v>
      </c>
      <c r="D864" s="4" t="s">
        <v>1572</v>
      </c>
      <c r="E864" s="4" t="s">
        <v>2105</v>
      </c>
      <c r="F864" s="4">
        <v>0</v>
      </c>
    </row>
    <row r="865" spans="1:6" x14ac:dyDescent="0.45">
      <c r="A865" t="s">
        <v>2106</v>
      </c>
      <c r="B865" t="str">
        <f>_xlfn.REGEXREPLACE([1]query1!B865, "https://doi.org/", "")</f>
        <v>10.1109/isgt59692.2024.10454170</v>
      </c>
      <c r="C865">
        <v>0</v>
      </c>
      <c r="D865" s="4" t="s">
        <v>2107</v>
      </c>
      <c r="E865" s="4" t="s">
        <v>2108</v>
      </c>
      <c r="F865" s="4">
        <v>0</v>
      </c>
    </row>
    <row r="866" spans="1:6" x14ac:dyDescent="0.45">
      <c r="A866" t="s">
        <v>2109</v>
      </c>
      <c r="B866" t="str">
        <f>_xlfn.REGEXREPLACE([1]query1!B866, "https://doi.org/", "")</f>
        <v>10.1109/iros58592.2024.10802700</v>
      </c>
      <c r="C866">
        <v>0</v>
      </c>
      <c r="D866" s="4" t="s">
        <v>2005</v>
      </c>
      <c r="E866" s="4"/>
      <c r="F866" s="4">
        <v>0</v>
      </c>
    </row>
    <row r="867" spans="1:6" x14ac:dyDescent="0.45">
      <c r="A867" t="s">
        <v>2110</v>
      </c>
      <c r="B867" t="str">
        <f>_xlfn.REGEXREPLACE([1]query1!B867, "https://doi.org/", "")</f>
        <v>10.5194/egusphere-egu24-13851</v>
      </c>
      <c r="C867">
        <v>0</v>
      </c>
      <c r="D867" s="4" t="s">
        <v>2111</v>
      </c>
      <c r="E867" s="4" t="s">
        <v>2112</v>
      </c>
      <c r="F867" s="4">
        <v>0</v>
      </c>
    </row>
    <row r="868" spans="1:6" x14ac:dyDescent="0.45">
      <c r="A868" t="s">
        <v>2113</v>
      </c>
      <c r="B868" t="str">
        <f>_xlfn.REGEXREPLACE([1]query1!B868, "https://doi.org/", "")</f>
        <v>10.1007/978-3-031-40534-1_1</v>
      </c>
      <c r="C868">
        <v>0</v>
      </c>
      <c r="D868" s="4" t="s">
        <v>2040</v>
      </c>
      <c r="E868" s="4" t="s">
        <v>2114</v>
      </c>
      <c r="F868" s="4">
        <v>0</v>
      </c>
    </row>
    <row r="869" spans="1:6" x14ac:dyDescent="0.45">
      <c r="A869" t="s">
        <v>2115</v>
      </c>
      <c r="B869" t="str">
        <f>_xlfn.REGEXREPLACE([1]query1!B869, "https://doi.org/", "")</f>
        <v>10.21203/rs.3.rs-5053327/v1</v>
      </c>
      <c r="C869">
        <v>0</v>
      </c>
      <c r="D869" s="4" t="s">
        <v>2116</v>
      </c>
      <c r="E869" s="4" t="s">
        <v>2117</v>
      </c>
      <c r="F869" s="4">
        <v>0</v>
      </c>
    </row>
    <row r="870" spans="1:6" x14ac:dyDescent="0.45">
      <c r="A870" t="s">
        <v>2111</v>
      </c>
      <c r="B870" t="str">
        <f>_xlfn.REGEXREPLACE([1]query1!B870, "https://doi.org/", "")</f>
        <v>10.3390/vibration7010007</v>
      </c>
      <c r="C870">
        <v>0</v>
      </c>
      <c r="D870" s="4" t="s">
        <v>2118</v>
      </c>
      <c r="E870" s="4" t="s">
        <v>2119</v>
      </c>
      <c r="F870" s="4">
        <v>0</v>
      </c>
    </row>
    <row r="871" spans="1:6" x14ac:dyDescent="0.45">
      <c r="A871" t="s">
        <v>2120</v>
      </c>
      <c r="B871" t="str">
        <f>_xlfn.REGEXREPLACE([1]query1!B871, "https://doi.org/", "")</f>
        <v>10.2139/ssrn.3972773</v>
      </c>
      <c r="C871">
        <v>0</v>
      </c>
      <c r="D871" s="4" t="s">
        <v>1618</v>
      </c>
      <c r="E871" s="4" t="s">
        <v>2121</v>
      </c>
      <c r="F871" s="4">
        <v>0</v>
      </c>
    </row>
    <row r="872" spans="1:6" x14ac:dyDescent="0.45">
      <c r="A872" t="s">
        <v>2122</v>
      </c>
      <c r="B872" t="str">
        <f>_xlfn.REGEXREPLACE([1]query1!B872, "https://doi.org/", "")</f>
        <v>10.1109/wf-iot54382.2022.10152163</v>
      </c>
      <c r="C872">
        <v>0</v>
      </c>
      <c r="D872" s="4" t="s">
        <v>1373</v>
      </c>
      <c r="E872" s="4" t="s">
        <v>2123</v>
      </c>
      <c r="F872" s="4">
        <v>0</v>
      </c>
    </row>
    <row r="873" spans="1:6" x14ac:dyDescent="0.45">
      <c r="A873" t="s">
        <v>2124</v>
      </c>
      <c r="B873" t="str">
        <f>_xlfn.REGEXREPLACE([1]query1!B873, "https://doi.org/", "")</f>
        <v>10.48550/arxiv.2006.12676</v>
      </c>
      <c r="C873">
        <v>0</v>
      </c>
      <c r="D873" s="4" t="s">
        <v>2109</v>
      </c>
      <c r="E873" s="4" t="s">
        <v>2125</v>
      </c>
      <c r="F873" s="4">
        <v>0</v>
      </c>
    </row>
    <row r="874" spans="1:6" x14ac:dyDescent="0.45">
      <c r="A874" t="s">
        <v>2126</v>
      </c>
      <c r="B874" t="str">
        <f>_xlfn.REGEXREPLACE([1]query1!B874, "https://doi.org/", "")</f>
        <v>10.31235/osf.io/uxzdv</v>
      </c>
      <c r="C874">
        <v>0</v>
      </c>
      <c r="D874" s="4" t="s">
        <v>2086</v>
      </c>
      <c r="E874" s="4" t="s">
        <v>2127</v>
      </c>
      <c r="F874" s="4">
        <v>0</v>
      </c>
    </row>
    <row r="875" spans="1:6" x14ac:dyDescent="0.45">
      <c r="A875" t="s">
        <v>2128</v>
      </c>
      <c r="B875" t="str">
        <f>_xlfn.REGEXREPLACE([1]query1!B875, "https://doi.org/", "")</f>
        <v>10.1109/nssmicrtsd49126.2023.10338596</v>
      </c>
      <c r="C875">
        <v>0</v>
      </c>
      <c r="D875" s="4" t="s">
        <v>2129</v>
      </c>
      <c r="E875" s="4" t="s">
        <v>2130</v>
      </c>
      <c r="F875" s="4">
        <v>0</v>
      </c>
    </row>
    <row r="876" spans="1:6" x14ac:dyDescent="0.45">
      <c r="A876" t="s">
        <v>2131</v>
      </c>
      <c r="B876" t="str">
        <f>_xlfn.REGEXREPLACE([1]query1!B876, "https://doi.org/", "")</f>
        <v>10.1007/978-3-031-66428-1_14</v>
      </c>
      <c r="C876">
        <v>0</v>
      </c>
      <c r="D876" s="4" t="s">
        <v>2132</v>
      </c>
      <c r="E876" s="4" t="s">
        <v>2133</v>
      </c>
      <c r="F876" s="4">
        <v>0</v>
      </c>
    </row>
    <row r="877" spans="1:6" x14ac:dyDescent="0.45">
      <c r="A877" t="s">
        <v>2134</v>
      </c>
      <c r="B877" t="str">
        <f>_xlfn.REGEXREPLACE([1]query1!B877, "https://doi.org/", "")</f>
        <v>10.48550/arxiv.2002.01350</v>
      </c>
      <c r="C877">
        <v>0</v>
      </c>
      <c r="D877" s="4" t="s">
        <v>2135</v>
      </c>
      <c r="E877" s="4" t="s">
        <v>2136</v>
      </c>
      <c r="F877" s="4">
        <v>0</v>
      </c>
    </row>
    <row r="878" spans="1:6" x14ac:dyDescent="0.45">
      <c r="A878" t="s">
        <v>2137</v>
      </c>
      <c r="B878" t="str">
        <f>_xlfn.REGEXREPLACE([1]query1!B878, "https://doi.org/", "")</f>
        <v>10.2139/ssrn.4855678</v>
      </c>
      <c r="C878">
        <v>0</v>
      </c>
      <c r="D878" s="4" t="s">
        <v>2138</v>
      </c>
      <c r="E878" s="4" t="s">
        <v>2139</v>
      </c>
      <c r="F878" s="4">
        <v>0</v>
      </c>
    </row>
    <row r="879" spans="1:6" x14ac:dyDescent="0.45">
      <c r="A879" t="s">
        <v>2140</v>
      </c>
      <c r="B879" t="str">
        <f>_xlfn.REGEXREPLACE([1]query1!B879, "https://doi.org/", "")</f>
        <v>10.1504/ijscip.2021.125162</v>
      </c>
      <c r="C879">
        <v>0</v>
      </c>
      <c r="D879" s="4" t="s">
        <v>1990</v>
      </c>
      <c r="E879" s="4" t="s">
        <v>2141</v>
      </c>
      <c r="F879" s="4">
        <v>0</v>
      </c>
    </row>
    <row r="880" spans="1:6" x14ac:dyDescent="0.45">
      <c r="A880" t="s">
        <v>2142</v>
      </c>
      <c r="B880" t="str">
        <f>_xlfn.REGEXREPLACE([1]query1!B880, "https://doi.org/", "")</f>
        <v>10.5194/isprs-annals-v-4-2021-7-2021</v>
      </c>
      <c r="C880">
        <v>0</v>
      </c>
      <c r="D880" s="4" t="s">
        <v>2143</v>
      </c>
      <c r="E880" s="4" t="s">
        <v>2144</v>
      </c>
      <c r="F880" s="4">
        <v>0</v>
      </c>
    </row>
    <row r="881" spans="1:6" x14ac:dyDescent="0.45">
      <c r="A881" t="s">
        <v>2142</v>
      </c>
      <c r="B881" t="str">
        <f>_xlfn.REGEXREPLACE([1]query1!B881, "https://doi.org/", "")</f>
        <v>10.5194/isprs-archives-xliii-b4-2021-7-2021</v>
      </c>
      <c r="C881">
        <v>0</v>
      </c>
      <c r="D881" s="4" t="s">
        <v>2145</v>
      </c>
      <c r="E881" s="4"/>
      <c r="F881" s="4">
        <v>0</v>
      </c>
    </row>
    <row r="882" spans="1:6" x14ac:dyDescent="0.45">
      <c r="A882" t="s">
        <v>2146</v>
      </c>
      <c r="B882" t="str">
        <f>_xlfn.REGEXREPLACE([1]query1!B882, "https://doi.org/", "")</f>
        <v>10.18260/1-2--17257</v>
      </c>
      <c r="C882">
        <v>0</v>
      </c>
      <c r="D882" s="4" t="s">
        <v>2147</v>
      </c>
      <c r="E882" s="4" t="s">
        <v>2148</v>
      </c>
      <c r="F882" s="4">
        <v>0</v>
      </c>
    </row>
    <row r="883" spans="1:6" x14ac:dyDescent="0.45">
      <c r="A883" t="s">
        <v>2149</v>
      </c>
      <c r="B883" t="str">
        <f>_xlfn.REGEXREPLACE([1]query1!B883, "https://doi.org/", "")</f>
        <v>10.1080/02664763.2024.2313459</v>
      </c>
      <c r="C883">
        <v>0</v>
      </c>
      <c r="D883" s="4" t="s">
        <v>2150</v>
      </c>
      <c r="E883" s="4" t="s">
        <v>2151</v>
      </c>
      <c r="F883" s="4">
        <v>0</v>
      </c>
    </row>
    <row r="884" spans="1:6" x14ac:dyDescent="0.45">
      <c r="A884" t="s">
        <v>2152</v>
      </c>
      <c r="B884" t="str">
        <f>_xlfn.REGEXREPLACE([1]query1!B884, "https://doi.org/", "")</f>
        <v>10.48550/arxiv.2410.12146</v>
      </c>
      <c r="C884">
        <v>0</v>
      </c>
      <c r="D884" s="4" t="s">
        <v>1872</v>
      </c>
      <c r="E884" s="4" t="s">
        <v>2153</v>
      </c>
      <c r="F884" s="4">
        <v>0</v>
      </c>
    </row>
    <row r="885" spans="1:6" x14ac:dyDescent="0.45">
      <c r="A885" t="s">
        <v>2154</v>
      </c>
      <c r="B885" t="str">
        <f>_xlfn.REGEXREPLACE([1]query1!B885, "https://doi.org/", "")</f>
        <v>10.1109/sege52446.2021.9534971</v>
      </c>
      <c r="C885">
        <v>0</v>
      </c>
      <c r="D885" s="4" t="s">
        <v>1709</v>
      </c>
      <c r="E885" s="4" t="s">
        <v>2155</v>
      </c>
      <c r="F885" s="4">
        <v>0</v>
      </c>
    </row>
    <row r="886" spans="1:6" x14ac:dyDescent="0.45">
      <c r="A886" t="s">
        <v>2135</v>
      </c>
      <c r="B886" t="str">
        <f>_xlfn.REGEXREPLACE([1]query1!B886, "https://doi.org/", "")</f>
        <v>10.1093/jjfinec/nbae004</v>
      </c>
      <c r="C886">
        <v>0</v>
      </c>
      <c r="D886" s="4" t="s">
        <v>2065</v>
      </c>
      <c r="E886" s="4" t="s">
        <v>2156</v>
      </c>
      <c r="F886" s="4">
        <v>0</v>
      </c>
    </row>
    <row r="887" spans="1:6" x14ac:dyDescent="0.45">
      <c r="A887" t="s">
        <v>2157</v>
      </c>
      <c r="B887" t="str">
        <f>_xlfn.REGEXREPLACE([1]query1!B887, "https://doi.org/", "")</f>
        <v>10.1109/hpcc64274.2024.00103</v>
      </c>
      <c r="C887">
        <v>0</v>
      </c>
      <c r="D887" s="4" t="s">
        <v>2158</v>
      </c>
      <c r="E887" s="4" t="s">
        <v>2159</v>
      </c>
      <c r="F887" s="4">
        <v>0</v>
      </c>
    </row>
    <row r="888" spans="1:6" x14ac:dyDescent="0.45">
      <c r="A888" t="s">
        <v>2160</v>
      </c>
      <c r="B888" t="str">
        <f>_xlfn.REGEXREPLACE([1]query1!B888, "https://doi.org/", "")</f>
        <v>10.1109/nssmicrtsd49126.2023.10337833</v>
      </c>
      <c r="C888">
        <v>0</v>
      </c>
      <c r="D888" s="4" t="s">
        <v>2161</v>
      </c>
      <c r="E888" s="4"/>
      <c r="F888" s="4">
        <v>0</v>
      </c>
    </row>
    <row r="889" spans="1:6" x14ac:dyDescent="0.45">
      <c r="A889" t="s">
        <v>2162</v>
      </c>
      <c r="B889" t="str">
        <f>_xlfn.REGEXREPLACE([1]query1!B889, "https://doi.org/", "")</f>
        <v>10.1007/s13253-024-00637-7</v>
      </c>
      <c r="C889">
        <v>0</v>
      </c>
      <c r="D889" s="4" t="s">
        <v>2163</v>
      </c>
      <c r="E889" s="4" t="s">
        <v>2164</v>
      </c>
      <c r="F889" s="4">
        <v>0</v>
      </c>
    </row>
    <row r="890" spans="1:6" x14ac:dyDescent="0.45">
      <c r="A890" t="s">
        <v>2165</v>
      </c>
      <c r="B890" t="str">
        <f>_xlfn.REGEXREPLACE([1]query1!B890, "https://doi.org/", "")</f>
        <v>10.2139/ssrn.3781901</v>
      </c>
      <c r="C890">
        <v>0</v>
      </c>
      <c r="D890" s="4" t="s">
        <v>2166</v>
      </c>
      <c r="E890" s="4" t="s">
        <v>2167</v>
      </c>
      <c r="F890" s="4">
        <v>0</v>
      </c>
    </row>
    <row r="891" spans="1:6" x14ac:dyDescent="0.45">
      <c r="A891" t="s">
        <v>2168</v>
      </c>
      <c r="B891" t="str">
        <f>_xlfn.REGEXREPLACE([1]query1!B891, "https://doi.org/", "")</f>
        <v>10.22541/au.172734149.92670694/v1</v>
      </c>
      <c r="C891">
        <v>0</v>
      </c>
      <c r="D891" s="4" t="s">
        <v>2106</v>
      </c>
      <c r="E891" s="4" t="s">
        <v>2169</v>
      </c>
      <c r="F891" s="4">
        <v>0</v>
      </c>
    </row>
    <row r="892" spans="1:6" x14ac:dyDescent="0.45">
      <c r="A892" t="s">
        <v>2170</v>
      </c>
      <c r="B892" t="str">
        <f>_xlfn.REGEXREPLACE([1]query1!B892, "https://doi.org/", "")</f>
        <v>10.1109/jiot.2024.3506947</v>
      </c>
      <c r="C892">
        <v>0</v>
      </c>
      <c r="D892" s="4" t="s">
        <v>2149</v>
      </c>
      <c r="E892" s="4" t="s">
        <v>2171</v>
      </c>
      <c r="F892" s="4">
        <v>0</v>
      </c>
    </row>
    <row r="893" spans="1:6" x14ac:dyDescent="0.45">
      <c r="A893" t="s">
        <v>2172</v>
      </c>
      <c r="B893" t="str">
        <f>_xlfn.REGEXREPLACE([1]query1!B893, "https://doi.org/", "")</f>
        <v>10.5281/zenodo.5056914</v>
      </c>
      <c r="C893">
        <v>0</v>
      </c>
      <c r="D893" s="4" t="s">
        <v>2173</v>
      </c>
      <c r="E893" s="4" t="s">
        <v>2174</v>
      </c>
      <c r="F893" s="4">
        <v>0</v>
      </c>
    </row>
    <row r="894" spans="1:6" x14ac:dyDescent="0.45">
      <c r="A894" t="s">
        <v>2175</v>
      </c>
      <c r="B894" t="str">
        <f>_xlfn.REGEXREPLACE([1]query1!B894, "https://doi.org/", "")</f>
        <v>10.1101/2021.12.07.21267381</v>
      </c>
      <c r="C894">
        <v>0</v>
      </c>
      <c r="D894" s="4" t="s">
        <v>1669</v>
      </c>
      <c r="E894" s="4" t="s">
        <v>2176</v>
      </c>
      <c r="F894" s="4">
        <v>0</v>
      </c>
    </row>
    <row r="895" spans="1:6" x14ac:dyDescent="0.45">
      <c r="A895" t="s">
        <v>2030</v>
      </c>
      <c r="B895" t="str">
        <f>_xlfn.REGEXREPLACE([1]query1!B895, "https://doi.org/", "")</f>
        <v>10.1007/s10751-020-1703-7</v>
      </c>
      <c r="C895">
        <v>0</v>
      </c>
      <c r="D895" s="4" t="s">
        <v>1817</v>
      </c>
      <c r="E895" s="4" t="s">
        <v>2177</v>
      </c>
      <c r="F895" s="4">
        <v>0</v>
      </c>
    </row>
    <row r="896" spans="1:6" x14ac:dyDescent="0.45">
      <c r="A896" t="s">
        <v>1159</v>
      </c>
      <c r="B896" t="str">
        <f>_xlfn.REGEXREPLACE([1]query1!B896, "https://doi.org/", "")</f>
        <v>10.48550/arxiv.2204.14205</v>
      </c>
      <c r="C896">
        <v>0</v>
      </c>
      <c r="D896" s="4" t="s">
        <v>2178</v>
      </c>
      <c r="E896" s="4" t="s">
        <v>2179</v>
      </c>
      <c r="F896" s="4">
        <v>0</v>
      </c>
    </row>
    <row r="897" spans="1:6" x14ac:dyDescent="0.45">
      <c r="A897" t="s">
        <v>2172</v>
      </c>
      <c r="B897" t="str">
        <f>_xlfn.REGEXREPLACE([1]query1!B897, "https://doi.org/", "")</f>
        <v>10.5281/zenodo.5056915</v>
      </c>
      <c r="C897">
        <v>0</v>
      </c>
      <c r="D897" s="4" t="s">
        <v>2157</v>
      </c>
      <c r="E897" s="4" t="s">
        <v>2180</v>
      </c>
      <c r="F897" s="4">
        <v>0</v>
      </c>
    </row>
    <row r="898" spans="1:6" x14ac:dyDescent="0.45">
      <c r="A898" t="s">
        <v>2181</v>
      </c>
      <c r="B898" t="str">
        <f>_xlfn.REGEXREPLACE([1]query1!B898, "https://doi.org/", "")</f>
        <v>10.5194/egusphere-2024-2418-rc1</v>
      </c>
      <c r="C898">
        <v>0</v>
      </c>
      <c r="D898" s="4" t="s">
        <v>1987</v>
      </c>
      <c r="E898" s="4" t="s">
        <v>2182</v>
      </c>
      <c r="F898" s="4">
        <v>0</v>
      </c>
    </row>
    <row r="899" spans="1:6" x14ac:dyDescent="0.45">
      <c r="A899" t="s">
        <v>2183</v>
      </c>
      <c r="B899" t="str">
        <f>_xlfn.REGEXREPLACE([1]query1!B899, "https://doi.org/", "")</f>
        <v>10.1002/gepi.22579</v>
      </c>
      <c r="C899">
        <v>0</v>
      </c>
      <c r="D899" s="4" t="s">
        <v>2184</v>
      </c>
      <c r="E899" s="4" t="s">
        <v>2185</v>
      </c>
      <c r="F899" s="4">
        <v>0</v>
      </c>
    </row>
    <row r="900" spans="1:6" x14ac:dyDescent="0.45">
      <c r="A900" t="s">
        <v>2074</v>
      </c>
      <c r="B900" t="str">
        <f>_xlfn.REGEXREPLACE([1]query1!B900, "https://doi.org/", "")</f>
        <v>10.1515/jqas-2023-0091</v>
      </c>
      <c r="C900">
        <v>0</v>
      </c>
      <c r="D900" s="4" t="s">
        <v>2100</v>
      </c>
      <c r="E900" s="4" t="s">
        <v>2186</v>
      </c>
      <c r="F900" s="4">
        <v>0</v>
      </c>
    </row>
    <row r="901" spans="1:6" x14ac:dyDescent="0.45">
      <c r="A901" t="s">
        <v>2187</v>
      </c>
      <c r="B901" t="str">
        <f>_xlfn.REGEXREPLACE([1]query1!B901, "https://doi.org/", "")</f>
        <v>10.1101/2024.07.30.605891</v>
      </c>
      <c r="C901">
        <v>0</v>
      </c>
      <c r="D901" s="4" t="s">
        <v>2188</v>
      </c>
      <c r="E901" s="4" t="s">
        <v>2189</v>
      </c>
      <c r="F901" s="4">
        <v>0</v>
      </c>
    </row>
    <row r="902" spans="1:6" x14ac:dyDescent="0.45">
      <c r="A902" t="s">
        <v>2096</v>
      </c>
      <c r="B902" t="str">
        <f>_xlfn.REGEXREPLACE([1]query1!B902, "https://doi.org/", "")</f>
        <v>10.1103/physrevd.110.056020</v>
      </c>
      <c r="C902">
        <v>0</v>
      </c>
      <c r="D902" s="4" t="s">
        <v>2190</v>
      </c>
      <c r="E902" s="4" t="s">
        <v>2191</v>
      </c>
      <c r="F902" s="4">
        <v>0</v>
      </c>
    </row>
    <row r="903" spans="1:6" x14ac:dyDescent="0.45">
      <c r="A903" t="s">
        <v>1888</v>
      </c>
      <c r="B903" t="str">
        <f>_xlfn.REGEXREPLACE([1]query1!B903, "https://doi.org/", "")</f>
        <v>10.1109/ccece59415.2024.10667099</v>
      </c>
      <c r="C903">
        <v>0</v>
      </c>
      <c r="D903" s="4" t="s">
        <v>2192</v>
      </c>
      <c r="E903" s="4"/>
      <c r="F903" s="4">
        <v>0</v>
      </c>
    </row>
    <row r="904" spans="1:6" x14ac:dyDescent="0.45">
      <c r="A904" t="s">
        <v>2193</v>
      </c>
      <c r="B904" t="str">
        <f>_xlfn.REGEXREPLACE([1]query1!B904, "https://doi.org/", "")</f>
        <v>10.1101/2021.12.18.473306</v>
      </c>
      <c r="C904">
        <v>0</v>
      </c>
      <c r="D904" s="4" t="s">
        <v>1364</v>
      </c>
      <c r="E904" s="4" t="s">
        <v>2194</v>
      </c>
      <c r="F904" s="4">
        <v>0</v>
      </c>
    </row>
    <row r="905" spans="1:6" x14ac:dyDescent="0.45">
      <c r="A905" t="s">
        <v>1867</v>
      </c>
      <c r="B905" t="str">
        <f>_xlfn.REGEXREPLACE([1]query1!B905, "https://doi.org/", "")</f>
        <v>10.23919/jcin.2024.10494943</v>
      </c>
      <c r="C905">
        <v>0</v>
      </c>
      <c r="D905" s="4" t="s">
        <v>2195</v>
      </c>
      <c r="E905" s="4" t="s">
        <v>2196</v>
      </c>
      <c r="F905" s="4">
        <v>0</v>
      </c>
    </row>
    <row r="906" spans="1:6" x14ac:dyDescent="0.45">
      <c r="A906" t="s">
        <v>1497</v>
      </c>
      <c r="B906" t="str">
        <f>_xlfn.REGEXREPLACE([1]query1!B906, "https://doi.org/", "")</f>
        <v>10.5281/zenodo.8299692</v>
      </c>
      <c r="C906">
        <v>0</v>
      </c>
      <c r="D906" s="4" t="s">
        <v>1892</v>
      </c>
      <c r="E906" s="4" t="s">
        <v>2197</v>
      </c>
      <c r="F906" s="4">
        <v>0</v>
      </c>
    </row>
    <row r="907" spans="1:6" x14ac:dyDescent="0.45">
      <c r="A907" t="s">
        <v>2198</v>
      </c>
      <c r="B907" t="str">
        <f>_xlfn.REGEXREPLACE([1]query1!B907, "https://doi.org/", "")</f>
        <v>10.1115/icef2020-2951</v>
      </c>
      <c r="C907">
        <v>0</v>
      </c>
      <c r="D907" s="4" t="s">
        <v>2193</v>
      </c>
      <c r="E907" s="4" t="s">
        <v>2199</v>
      </c>
      <c r="F907" s="4">
        <v>0</v>
      </c>
    </row>
    <row r="908" spans="1:6" x14ac:dyDescent="0.45">
      <c r="A908" t="s">
        <v>2188</v>
      </c>
      <c r="B908" t="str">
        <f>_xlfn.REGEXREPLACE([1]query1!B908, "https://doi.org/", "")</f>
        <v>10.1109/globecom52923.2024.10901456</v>
      </c>
      <c r="C908">
        <v>0</v>
      </c>
      <c r="D908" s="4" t="s">
        <v>2200</v>
      </c>
      <c r="E908" s="4" t="s">
        <v>2201</v>
      </c>
      <c r="F908" s="4">
        <v>0</v>
      </c>
    </row>
    <row r="909" spans="1:6" x14ac:dyDescent="0.45">
      <c r="A909" t="s">
        <v>2202</v>
      </c>
      <c r="B909" t="str">
        <f>_xlfn.REGEXREPLACE([1]query1!B909, "https://doi.org/", "")</f>
        <v>10.2172/2246939</v>
      </c>
      <c r="C909">
        <v>0</v>
      </c>
      <c r="D909" s="4" t="s">
        <v>1726</v>
      </c>
      <c r="E909" s="4" t="s">
        <v>2203</v>
      </c>
      <c r="F909" s="4">
        <v>0</v>
      </c>
    </row>
    <row r="910" spans="1:6" x14ac:dyDescent="0.45">
      <c r="A910" t="s">
        <v>2204</v>
      </c>
      <c r="B910" t="str">
        <f>_xlfn.REGEXREPLACE([1]query1!B910, "https://doi.org/", "")</f>
        <v/>
      </c>
      <c r="C910">
        <v>0</v>
      </c>
      <c r="D910" s="4" t="s">
        <v>2094</v>
      </c>
      <c r="E910" s="4" t="s">
        <v>2205</v>
      </c>
      <c r="F910" s="4">
        <v>0</v>
      </c>
    </row>
    <row r="911" spans="1:6" x14ac:dyDescent="0.45">
      <c r="A911" t="s">
        <v>85</v>
      </c>
      <c r="B911" t="str">
        <f>_xlfn.REGEXREPLACE([1]query1!B911, "https://doi.org/", "")</f>
        <v>10.5194/egusphere-egu2020-5583</v>
      </c>
      <c r="C911">
        <v>0</v>
      </c>
      <c r="D911" s="4" t="s">
        <v>1972</v>
      </c>
      <c r="E911" s="4" t="s">
        <v>2206</v>
      </c>
      <c r="F911" s="4">
        <v>0</v>
      </c>
    </row>
    <row r="912" spans="1:6" x14ac:dyDescent="0.45">
      <c r="A912" t="s">
        <v>2207</v>
      </c>
      <c r="B912" t="str">
        <f>_xlfn.REGEXREPLACE([1]query1!B912, "https://doi.org/", "")</f>
        <v>10.5194/egusphere-egu24-13064</v>
      </c>
      <c r="C912">
        <v>0</v>
      </c>
      <c r="D912" s="4" t="s">
        <v>2208</v>
      </c>
      <c r="E912" s="4" t="s">
        <v>2209</v>
      </c>
      <c r="F912" s="4">
        <v>0</v>
      </c>
    </row>
    <row r="913" spans="1:6" x14ac:dyDescent="0.45">
      <c r="A913" t="s">
        <v>2210</v>
      </c>
      <c r="B913" t="str">
        <f>_xlfn.REGEXREPLACE([1]query1!B913, "https://doi.org/", "")</f>
        <v>10.1101/2021.05.10.443467</v>
      </c>
      <c r="C913">
        <v>0</v>
      </c>
      <c r="D913" s="4" t="s">
        <v>1629</v>
      </c>
      <c r="E913" s="4" t="s">
        <v>2211</v>
      </c>
      <c r="F913" s="4">
        <v>0</v>
      </c>
    </row>
    <row r="914" spans="1:6" x14ac:dyDescent="0.45">
      <c r="A914" t="s">
        <v>2212</v>
      </c>
      <c r="B914" t="str">
        <f>_xlfn.REGEXREPLACE([1]query1!B914, "https://doi.org/", "")</f>
        <v>10.2139/ssrn.4073489</v>
      </c>
      <c r="C914">
        <v>0</v>
      </c>
      <c r="D914" s="4" t="s">
        <v>1717</v>
      </c>
      <c r="E914" s="4" t="s">
        <v>2213</v>
      </c>
      <c r="F914" s="4">
        <v>0</v>
      </c>
    </row>
    <row r="915" spans="1:6" x14ac:dyDescent="0.45">
      <c r="A915" t="s">
        <v>311</v>
      </c>
      <c r="B915" t="str">
        <f>_xlfn.REGEXREPLACE([1]query1!B915, "https://doi.org/", "")</f>
        <v>10.6084/m9.figshare.19228682</v>
      </c>
      <c r="C915">
        <v>0</v>
      </c>
      <c r="D915" s="4" t="s">
        <v>2214</v>
      </c>
      <c r="E915" s="4" t="s">
        <v>2215</v>
      </c>
      <c r="F915" s="4">
        <v>0</v>
      </c>
    </row>
    <row r="916" spans="1:6" x14ac:dyDescent="0.45">
      <c r="A916" t="s">
        <v>2147</v>
      </c>
      <c r="B916" t="str">
        <f>_xlfn.REGEXREPLACE([1]query1!B916, "https://doi.org/", "")</f>
        <v>10.1109/iolts60994.2024.10616090</v>
      </c>
      <c r="C916">
        <v>0</v>
      </c>
      <c r="D916" s="4" t="s">
        <v>2216</v>
      </c>
      <c r="E916" s="4"/>
      <c r="F916" s="4">
        <v>0</v>
      </c>
    </row>
    <row r="917" spans="1:6" x14ac:dyDescent="0.45">
      <c r="A917" t="s">
        <v>2200</v>
      </c>
      <c r="B917" t="str">
        <f>_xlfn.REGEXREPLACE([1]query1!B917, "https://doi.org/", "")</f>
        <v>10.1101/2022.10.15.512197</v>
      </c>
      <c r="C917">
        <v>0</v>
      </c>
      <c r="D917" s="4" t="s">
        <v>1994</v>
      </c>
      <c r="E917" s="4" t="s">
        <v>2217</v>
      </c>
      <c r="F917" s="4">
        <v>0</v>
      </c>
    </row>
    <row r="918" spans="1:6" x14ac:dyDescent="0.45">
      <c r="A918" t="s">
        <v>2218</v>
      </c>
      <c r="B918" t="str">
        <f>_xlfn.REGEXREPLACE([1]query1!B918, "https://doi.org/", "")</f>
        <v>10.5194/isprs-archives-xliii-b4-2020-7-2020</v>
      </c>
      <c r="C918">
        <v>0</v>
      </c>
      <c r="D918" s="4" t="s">
        <v>1998</v>
      </c>
      <c r="E918" s="4" t="s">
        <v>2219</v>
      </c>
      <c r="F918" s="4">
        <v>0</v>
      </c>
    </row>
    <row r="919" spans="1:6" x14ac:dyDescent="0.45">
      <c r="A919" t="s">
        <v>2220</v>
      </c>
      <c r="B919" t="str">
        <f>_xlfn.REGEXREPLACE([1]query1!B919, "https://doi.org/", "")</f>
        <v>10.5194/isprs-annals-v-4-2020-7-2020</v>
      </c>
      <c r="C919">
        <v>0</v>
      </c>
      <c r="D919" s="4" t="s">
        <v>2221</v>
      </c>
      <c r="E919" s="4" t="s">
        <v>2222</v>
      </c>
      <c r="F919" s="4">
        <v>0</v>
      </c>
    </row>
    <row r="920" spans="1:6" x14ac:dyDescent="0.45">
      <c r="A920" t="s">
        <v>2223</v>
      </c>
      <c r="B920" t="str">
        <f>_xlfn.REGEXREPLACE([1]query1!B920, "https://doi.org/", "")</f>
        <v>10.1115/es2024-126891</v>
      </c>
      <c r="C920">
        <v>0</v>
      </c>
      <c r="D920" s="4" t="s">
        <v>2224</v>
      </c>
      <c r="E920" s="4"/>
      <c r="F920" s="4">
        <v>0</v>
      </c>
    </row>
    <row r="921" spans="1:6" x14ac:dyDescent="0.45">
      <c r="A921" t="s">
        <v>1525</v>
      </c>
      <c r="B921" t="str">
        <f>_xlfn.REGEXREPLACE([1]query1!B921, "https://doi.org/", "")</f>
        <v>10.5281/zenodo.6341891</v>
      </c>
      <c r="C921">
        <v>0</v>
      </c>
      <c r="D921" s="4" t="s">
        <v>2225</v>
      </c>
      <c r="E921" s="4" t="s">
        <v>2226</v>
      </c>
      <c r="F921" s="4">
        <v>0</v>
      </c>
    </row>
    <row r="922" spans="1:6" x14ac:dyDescent="0.45">
      <c r="A922" t="s">
        <v>2227</v>
      </c>
      <c r="B922" t="str">
        <f>_xlfn.REGEXREPLACE([1]query1!B922, "https://doi.org/", "")</f>
        <v>10.1101/2024.05.29.596491</v>
      </c>
      <c r="C922">
        <v>0</v>
      </c>
      <c r="D922" s="4" t="s">
        <v>2228</v>
      </c>
      <c r="E922" s="4" t="s">
        <v>2229</v>
      </c>
      <c r="F922" s="4">
        <v>0</v>
      </c>
    </row>
    <row r="923" spans="1:6" x14ac:dyDescent="0.45">
      <c r="A923" t="s">
        <v>1525</v>
      </c>
      <c r="B923" t="str">
        <f>_xlfn.REGEXREPLACE([1]query1!B923, "https://doi.org/", "")</f>
        <v>10.5281/zenodo.6369360</v>
      </c>
      <c r="C923">
        <v>0</v>
      </c>
      <c r="D923" s="4" t="s">
        <v>2230</v>
      </c>
      <c r="E923" s="4"/>
      <c r="F923" s="4">
        <v>0</v>
      </c>
    </row>
    <row r="924" spans="1:6" x14ac:dyDescent="0.45">
      <c r="A924" t="s">
        <v>2098</v>
      </c>
      <c r="B924" t="str">
        <f>_xlfn.REGEXREPLACE([1]query1!B924, "https://doi.org/", "")</f>
        <v>10.3847/1538-4357/ad53c5</v>
      </c>
      <c r="C924">
        <v>0</v>
      </c>
      <c r="D924" s="4" t="s">
        <v>2231</v>
      </c>
      <c r="E924" s="4"/>
      <c r="F924" s="4">
        <v>0</v>
      </c>
    </row>
    <row r="925" spans="1:6" x14ac:dyDescent="0.45">
      <c r="A925" t="s">
        <v>2035</v>
      </c>
      <c r="B925" t="str">
        <f>_xlfn.REGEXREPLACE([1]query1!B925, "https://doi.org/", "")</f>
        <v>10.1109/iiswc50251.2020.00034</v>
      </c>
      <c r="C925">
        <v>0</v>
      </c>
      <c r="D925" s="4" t="s">
        <v>2232</v>
      </c>
      <c r="E925" s="4"/>
      <c r="F925" s="4">
        <v>0</v>
      </c>
    </row>
    <row r="926" spans="1:6" x14ac:dyDescent="0.45">
      <c r="A926" t="s">
        <v>1525</v>
      </c>
      <c r="B926" t="str">
        <f>_xlfn.REGEXREPLACE([1]query1!B926, "https://doi.org/", "")</f>
        <v>10.5281/zenodo.5797034</v>
      </c>
      <c r="C926">
        <v>0</v>
      </c>
      <c r="D926" s="4" t="s">
        <v>2233</v>
      </c>
      <c r="E926" s="4"/>
      <c r="F926" s="4">
        <v>0</v>
      </c>
    </row>
    <row r="927" spans="1:6" x14ac:dyDescent="0.45">
      <c r="A927" t="s">
        <v>2234</v>
      </c>
      <c r="B927" t="str">
        <f>_xlfn.REGEXREPLACE([1]query1!B927, "https://doi.org/", "")</f>
        <v>10.21203/rs.3.rs-1984045/v1</v>
      </c>
      <c r="C927">
        <v>0</v>
      </c>
      <c r="D927" s="4" t="s">
        <v>1601</v>
      </c>
      <c r="E927" s="4" t="s">
        <v>2235</v>
      </c>
      <c r="F927" s="4">
        <v>0</v>
      </c>
    </row>
    <row r="928" spans="1:6" x14ac:dyDescent="0.45">
      <c r="A928" t="s">
        <v>1525</v>
      </c>
      <c r="B928" t="str">
        <f>_xlfn.REGEXREPLACE([1]query1!B928, "https://doi.org/", "")</f>
        <v>10.5281/zenodo.5797035</v>
      </c>
      <c r="C928">
        <v>0</v>
      </c>
      <c r="D928" s="4" t="s">
        <v>1552</v>
      </c>
      <c r="E928" s="4" t="s">
        <v>2236</v>
      </c>
      <c r="F928" s="4">
        <v>0</v>
      </c>
    </row>
    <row r="929" spans="1:6" x14ac:dyDescent="0.45">
      <c r="A929" t="s">
        <v>1078</v>
      </c>
      <c r="B929" t="str">
        <f>_xlfn.REGEXREPLACE([1]query1!B929, "https://doi.org/", "")</f>
        <v>10.48550/arxiv.2308.12426</v>
      </c>
      <c r="C929">
        <v>0</v>
      </c>
      <c r="D929" s="4" t="s">
        <v>2237</v>
      </c>
      <c r="E929" s="4" t="s">
        <v>2238</v>
      </c>
      <c r="F929" s="4">
        <v>0</v>
      </c>
    </row>
    <row r="930" spans="1:6" x14ac:dyDescent="0.45">
      <c r="A930" t="s">
        <v>2239</v>
      </c>
      <c r="B930" t="str">
        <f>_xlfn.REGEXREPLACE([1]query1!B930, "https://doi.org/", "")</f>
        <v>10.21203/rs.3.rs-3319477/v1</v>
      </c>
      <c r="C930">
        <v>0</v>
      </c>
      <c r="D930" s="4" t="s">
        <v>2043</v>
      </c>
      <c r="E930" s="4" t="s">
        <v>2240</v>
      </c>
      <c r="F930" s="4">
        <v>0</v>
      </c>
    </row>
    <row r="931" spans="1:6" x14ac:dyDescent="0.45">
      <c r="A931" t="s">
        <v>2241</v>
      </c>
      <c r="B931" t="str">
        <f>_xlfn.REGEXREPLACE([1]query1!B931, "https://doi.org/", "")</f>
        <v>10.5194/egusphere-egu22-10860</v>
      </c>
      <c r="C931">
        <v>0</v>
      </c>
      <c r="D931" s="4" t="s">
        <v>2242</v>
      </c>
      <c r="E931" s="4" t="s">
        <v>2243</v>
      </c>
      <c r="F931" s="4">
        <v>0</v>
      </c>
    </row>
    <row r="932" spans="1:6" x14ac:dyDescent="0.45">
      <c r="A932" t="s">
        <v>2132</v>
      </c>
      <c r="B932" t="str">
        <f>_xlfn.REGEXREPLACE([1]query1!B932, "https://doi.org/", "")</f>
        <v>10.3389/fimmu.2024.1505032</v>
      </c>
      <c r="C932">
        <v>0</v>
      </c>
      <c r="D932" s="4" t="s">
        <v>2244</v>
      </c>
      <c r="E932" s="4" t="s">
        <v>2245</v>
      </c>
      <c r="F932" s="4">
        <v>0</v>
      </c>
    </row>
    <row r="933" spans="1:6" x14ac:dyDescent="0.45">
      <c r="A933" t="s">
        <v>2246</v>
      </c>
      <c r="B933" t="str">
        <f>_xlfn.REGEXREPLACE([1]query1!B933, "https://doi.org/", "")</f>
        <v>10.5194/bg-2022-168-cc1</v>
      </c>
      <c r="C933">
        <v>0</v>
      </c>
      <c r="D933" s="4" t="s">
        <v>2034</v>
      </c>
      <c r="E933" s="4" t="s">
        <v>2247</v>
      </c>
      <c r="F933" s="4">
        <v>0</v>
      </c>
    </row>
    <row r="934" spans="1:6" x14ac:dyDescent="0.45">
      <c r="A934" t="s">
        <v>1918</v>
      </c>
      <c r="B934" t="str">
        <f>_xlfn.REGEXREPLACE([1]query1!B934, "https://doi.org/", "")</f>
        <v>10.5194/bg-2022-168-ac2</v>
      </c>
      <c r="C934">
        <v>0</v>
      </c>
      <c r="D934" s="4" t="s">
        <v>1649</v>
      </c>
      <c r="E934" s="4" t="s">
        <v>2248</v>
      </c>
      <c r="F934" s="4">
        <v>0</v>
      </c>
    </row>
    <row r="935" spans="1:6" x14ac:dyDescent="0.45">
      <c r="A935" t="s">
        <v>2249</v>
      </c>
      <c r="B935" t="str">
        <f>_xlfn.REGEXREPLACE([1]query1!B935, "https://doi.org/", "")</f>
        <v>10.1016/j.bpj.2022.11.726</v>
      </c>
      <c r="C935">
        <v>0</v>
      </c>
      <c r="D935" s="4" t="s">
        <v>2154</v>
      </c>
      <c r="E935" s="4" t="s">
        <v>2250</v>
      </c>
      <c r="F935" s="4">
        <v>0</v>
      </c>
    </row>
    <row r="936" spans="1:6" x14ac:dyDescent="0.45">
      <c r="A936" t="s">
        <v>2237</v>
      </c>
      <c r="B936" t="str">
        <f>_xlfn.REGEXREPLACE([1]query1!B936, "https://doi.org/", "")</f>
        <v>10.1007/978-3-030-84474-5_12</v>
      </c>
      <c r="C936">
        <v>0</v>
      </c>
      <c r="D936" s="4" t="s">
        <v>2251</v>
      </c>
      <c r="E936" s="4" t="s">
        <v>2252</v>
      </c>
      <c r="F936" s="4">
        <v>0</v>
      </c>
    </row>
    <row r="937" spans="1:6" x14ac:dyDescent="0.45">
      <c r="A937" t="s">
        <v>2253</v>
      </c>
      <c r="B937" t="str">
        <f>_xlfn.REGEXREPLACE([1]query1!B937, "https://doi.org/", "")</f>
        <v>10.5194/egusphere-egu22-13502</v>
      </c>
      <c r="C937">
        <v>0</v>
      </c>
      <c r="D937" s="4" t="s">
        <v>2254</v>
      </c>
      <c r="E937" s="4" t="s">
        <v>2255</v>
      </c>
      <c r="F937" s="4">
        <v>0</v>
      </c>
    </row>
    <row r="938" spans="1:6" x14ac:dyDescent="0.45">
      <c r="A938" t="s">
        <v>2256</v>
      </c>
      <c r="B938" t="str">
        <f>_xlfn.REGEXREPLACE([1]query1!B938, "https://doi.org/", "")</f>
        <v>10.15626/mp.2018.1479</v>
      </c>
      <c r="C938">
        <v>0</v>
      </c>
      <c r="D938" s="4" t="s">
        <v>1829</v>
      </c>
      <c r="E938" s="4" t="s">
        <v>2257</v>
      </c>
      <c r="F938" s="4">
        <v>0</v>
      </c>
    </row>
    <row r="939" spans="1:6" x14ac:dyDescent="0.45">
      <c r="A939" t="s">
        <v>2258</v>
      </c>
      <c r="B939" t="str">
        <f>_xlfn.REGEXREPLACE([1]query1!B939, "https://doi.org/", "")</f>
        <v>10.1016/j.nima.2021.165092</v>
      </c>
      <c r="C939">
        <v>0</v>
      </c>
      <c r="D939" s="4" t="s">
        <v>1852</v>
      </c>
      <c r="E939" s="4" t="s">
        <v>2259</v>
      </c>
      <c r="F939" s="4">
        <v>0</v>
      </c>
    </row>
    <row r="940" spans="1:6" x14ac:dyDescent="0.45">
      <c r="A940" t="s">
        <v>1793</v>
      </c>
      <c r="B940" t="str">
        <f>_xlfn.REGEXREPLACE([1]query1!B940, "https://doi.org/", "")</f>
        <v>10.15626/mp.2021.2757</v>
      </c>
      <c r="C940">
        <v>0</v>
      </c>
      <c r="D940" s="4" t="s">
        <v>2260</v>
      </c>
      <c r="E940" s="4"/>
      <c r="F940" s="4">
        <v>0</v>
      </c>
    </row>
    <row r="941" spans="1:6" x14ac:dyDescent="0.45">
      <c r="A941" t="s">
        <v>2261</v>
      </c>
      <c r="B941" t="str">
        <f>_xlfn.REGEXREPLACE([1]query1!B941, "https://doi.org/", "")</f>
        <v>10.5194/bg-2022-168-rc2</v>
      </c>
      <c r="C941">
        <v>0</v>
      </c>
      <c r="D941" s="4" t="s">
        <v>2262</v>
      </c>
      <c r="E941" s="4" t="s">
        <v>2263</v>
      </c>
      <c r="F941" s="4">
        <v>0</v>
      </c>
    </row>
    <row r="942" spans="1:6" x14ac:dyDescent="0.45">
      <c r="A942" t="s">
        <v>281</v>
      </c>
      <c r="B942" t="str">
        <f>_xlfn.REGEXREPLACE([1]query1!B942, "https://doi.org/", "")</f>
        <v>10.36227/techrxiv.13150805.v2</v>
      </c>
      <c r="C942">
        <v>0</v>
      </c>
      <c r="D942" s="4" t="s">
        <v>1826</v>
      </c>
      <c r="E942" s="4" t="s">
        <v>2264</v>
      </c>
      <c r="F942" s="4">
        <v>0</v>
      </c>
    </row>
    <row r="943" spans="1:6" x14ac:dyDescent="0.45">
      <c r="A943" t="s">
        <v>1877</v>
      </c>
      <c r="B943" t="str">
        <f>_xlfn.REGEXREPLACE([1]query1!B943, "https://doi.org/", "")</f>
        <v>10.5194/bg-2022-168-ac3</v>
      </c>
      <c r="C943">
        <v>0</v>
      </c>
      <c r="D943" s="4" t="s">
        <v>2007</v>
      </c>
      <c r="E943" s="4" t="s">
        <v>2265</v>
      </c>
      <c r="F943" s="4">
        <v>0</v>
      </c>
    </row>
    <row r="944" spans="1:6" x14ac:dyDescent="0.45">
      <c r="A944" t="s">
        <v>2246</v>
      </c>
      <c r="B944" t="str">
        <f>_xlfn.REGEXREPLACE([1]query1!B944, "https://doi.org/", "")</f>
        <v>10.5194/bg-2022-168-rc1</v>
      </c>
      <c r="C944">
        <v>0</v>
      </c>
      <c r="D944" s="4" t="s">
        <v>2076</v>
      </c>
      <c r="E944" s="4" t="s">
        <v>2266</v>
      </c>
      <c r="F944" s="4">
        <v>0</v>
      </c>
    </row>
    <row r="945" spans="1:6" x14ac:dyDescent="0.45">
      <c r="A945" t="s">
        <v>2200</v>
      </c>
      <c r="B945" t="str">
        <f>_xlfn.REGEXREPLACE([1]query1!B945, "https://doi.org/", "")</f>
        <v>10.3389/fgene.2022.1065568</v>
      </c>
      <c r="C945">
        <v>0</v>
      </c>
      <c r="D945" s="4" t="s">
        <v>2267</v>
      </c>
      <c r="E945" s="4" t="s">
        <v>2268</v>
      </c>
      <c r="F945" s="4">
        <v>0</v>
      </c>
    </row>
    <row r="946" spans="1:6" x14ac:dyDescent="0.45">
      <c r="A946" t="s">
        <v>281</v>
      </c>
      <c r="B946" t="str">
        <f>_xlfn.REGEXREPLACE([1]query1!B946, "https://doi.org/", "")</f>
        <v>10.36227/techrxiv.13150805</v>
      </c>
      <c r="C946">
        <v>0</v>
      </c>
      <c r="D946" s="4" t="s">
        <v>1567</v>
      </c>
      <c r="E946" s="4" t="s">
        <v>2269</v>
      </c>
      <c r="F946" s="4">
        <v>0</v>
      </c>
    </row>
    <row r="947" spans="1:6" x14ac:dyDescent="0.45">
      <c r="A947" t="s">
        <v>1883</v>
      </c>
      <c r="B947" t="str">
        <f>_xlfn.REGEXREPLACE([1]query1!B947, "https://doi.org/", "")</f>
        <v>10.5194/bg-2022-168-ac1</v>
      </c>
      <c r="C947">
        <v>0</v>
      </c>
      <c r="D947" s="4" t="s">
        <v>2270</v>
      </c>
      <c r="E947" s="4" t="s">
        <v>2271</v>
      </c>
      <c r="F947" s="4">
        <v>0</v>
      </c>
    </row>
    <row r="948" spans="1:6" x14ac:dyDescent="0.45">
      <c r="A948" t="s">
        <v>2272</v>
      </c>
      <c r="B948" t="str">
        <f>_xlfn.REGEXREPLACE([1]query1!B948, "https://doi.org/", "")</f>
        <v>10.1149/ma2020-02463820mtgabs</v>
      </c>
      <c r="C948">
        <v>0</v>
      </c>
      <c r="D948" s="4" t="s">
        <v>2273</v>
      </c>
      <c r="E948" s="4" t="s">
        <v>2274</v>
      </c>
      <c r="F948" s="4">
        <v>0</v>
      </c>
    </row>
    <row r="949" spans="1:6" x14ac:dyDescent="0.45">
      <c r="A949" t="s">
        <v>2275</v>
      </c>
      <c r="B949" t="str">
        <f>_xlfn.REGEXREPLACE([1]query1!B949, "https://doi.org/", "")</f>
        <v>10.1149/ma2022-01391762mtgabs</v>
      </c>
      <c r="C949">
        <v>0</v>
      </c>
      <c r="D949" s="4" t="s">
        <v>2003</v>
      </c>
      <c r="E949" s="4" t="s">
        <v>2276</v>
      </c>
      <c r="F949" s="4">
        <v>0</v>
      </c>
    </row>
    <row r="950" spans="1:6" x14ac:dyDescent="0.45">
      <c r="A950" t="s">
        <v>2277</v>
      </c>
      <c r="B950" t="str">
        <f>_xlfn.REGEXREPLACE([1]query1!B950, "https://doi.org/", "")</f>
        <v>10.7554/elife.82538.sa0</v>
      </c>
      <c r="C950">
        <v>0</v>
      </c>
      <c r="D950" s="4" t="s">
        <v>2278</v>
      </c>
      <c r="E950" s="4" t="s">
        <v>2279</v>
      </c>
      <c r="F950" s="4">
        <v>0</v>
      </c>
    </row>
    <row r="951" spans="1:6" x14ac:dyDescent="0.45">
      <c r="A951" t="s">
        <v>2228</v>
      </c>
      <c r="B951" t="str">
        <f>_xlfn.REGEXREPLACE([1]query1!B951, "https://doi.org/", "")</f>
        <v>10.3389/fcosc.2022.903132</v>
      </c>
      <c r="C951">
        <v>0</v>
      </c>
      <c r="D951" s="4" t="s">
        <v>2280</v>
      </c>
      <c r="E951" s="4"/>
      <c r="F951" s="4">
        <v>0</v>
      </c>
    </row>
    <row r="952" spans="1:6" x14ac:dyDescent="0.45">
      <c r="A952" t="s">
        <v>2281</v>
      </c>
      <c r="B952" t="str">
        <f>_xlfn.REGEXREPLACE([1]query1!B952, "https://doi.org/", "")</f>
        <v>10.1002/jia2.26305</v>
      </c>
      <c r="C952">
        <v>0</v>
      </c>
    </row>
    <row r="953" spans="1:6" x14ac:dyDescent="0.45">
      <c r="A953" t="s">
        <v>2282</v>
      </c>
      <c r="B953" t="str">
        <f>_xlfn.REGEXREPLACE([1]query1!B953, "https://doi.org/", "")</f>
        <v>10.7554/elife.76174.sa2</v>
      </c>
      <c r="C953">
        <v>0</v>
      </c>
    </row>
    <row r="954" spans="1:6" x14ac:dyDescent="0.45">
      <c r="A954" t="s">
        <v>73</v>
      </c>
      <c r="B954" t="str">
        <f>_xlfn.REGEXREPLACE([1]query1!B954, "https://doi.org/", "")</f>
        <v>10.1038/s41467-021-20901-5</v>
      </c>
      <c r="C954">
        <v>0</v>
      </c>
    </row>
    <row r="955" spans="1:6" x14ac:dyDescent="0.45">
      <c r="A955" t="s">
        <v>2283</v>
      </c>
      <c r="B955" t="str">
        <f>_xlfn.REGEXREPLACE([1]query1!B955, "https://doi.org/", "")</f>
        <v>10.1051/0004-6361/201936386</v>
      </c>
      <c r="C955">
        <v>0</v>
      </c>
    </row>
    <row r="956" spans="1:6" x14ac:dyDescent="0.45">
      <c r="A956" t="s">
        <v>2284</v>
      </c>
      <c r="B956" t="str">
        <f>_xlfn.REGEXREPLACE([1]query1!B956, "https://doi.org/", "")</f>
        <v>10.1051/0004-6361/202038073</v>
      </c>
      <c r="C956">
        <v>0</v>
      </c>
    </row>
    <row r="957" spans="1:6" x14ac:dyDescent="0.45">
      <c r="A957" t="s">
        <v>2285</v>
      </c>
      <c r="B957" t="str">
        <f>_xlfn.REGEXREPLACE([1]query1!B957, "https://doi.org/", "")</f>
        <v>10.1002/adma.202004477</v>
      </c>
      <c r="C957">
        <v>0</v>
      </c>
    </row>
    <row r="958" spans="1:6" x14ac:dyDescent="0.45">
      <c r="A958" t="s">
        <v>1247</v>
      </c>
      <c r="B958" t="str">
        <f>_xlfn.REGEXREPLACE([1]query1!B958, "https://doi.org/", "")</f>
        <v>10.1002/hyp.14198</v>
      </c>
      <c r="C958">
        <v>0</v>
      </c>
    </row>
    <row r="959" spans="1:6" x14ac:dyDescent="0.45">
      <c r="A959" t="s">
        <v>2286</v>
      </c>
      <c r="B959" t="str">
        <f>_xlfn.REGEXREPLACE([1]query1!B959, "https://doi.org/", "")</f>
        <v>10.1029/2021gl096716</v>
      </c>
      <c r="C959">
        <v>0</v>
      </c>
    </row>
    <row r="960" spans="1:6" x14ac:dyDescent="0.45">
      <c r="A960" t="s">
        <v>2287</v>
      </c>
      <c r="B960" t="str">
        <f>_xlfn.REGEXREPLACE([1]query1!B960, "https://doi.org/", "")</f>
        <v>10.1175/bams-d-22-0111.1</v>
      </c>
      <c r="C960">
        <v>0</v>
      </c>
    </row>
    <row r="961" spans="1:3" x14ac:dyDescent="0.45">
      <c r="A961" t="s">
        <v>316</v>
      </c>
      <c r="B961" t="str">
        <f>_xlfn.REGEXREPLACE([1]query1!B961, "https://doi.org/", "")</f>
        <v>10.1038/s41467-020-14352-7</v>
      </c>
      <c r="C961">
        <v>0</v>
      </c>
    </row>
    <row r="962" spans="1:3" x14ac:dyDescent="0.45">
      <c r="A962" t="s">
        <v>1368</v>
      </c>
      <c r="B962" t="str">
        <f>_xlfn.REGEXREPLACE([1]query1!B962, "https://doi.org/", "")</f>
        <v>10.1016/j.nimb.2021.11.014</v>
      </c>
      <c r="C962">
        <v>0</v>
      </c>
    </row>
    <row r="963" spans="1:3" x14ac:dyDescent="0.45">
      <c r="A963" t="s">
        <v>2288</v>
      </c>
      <c r="B963" t="str">
        <f>_xlfn.REGEXREPLACE([1]query1!B963, "https://doi.org/", "")</f>
        <v>10.5194/cp-18-1729-2022</v>
      </c>
      <c r="C963">
        <v>0</v>
      </c>
    </row>
    <row r="964" spans="1:3" x14ac:dyDescent="0.45">
      <c r="A964" t="s">
        <v>2289</v>
      </c>
      <c r="B964" t="str">
        <f>_xlfn.REGEXREPLACE([1]query1!B964, "https://doi.org/", "")</f>
        <v>10.1002/adma.202108419</v>
      </c>
      <c r="C964">
        <v>0</v>
      </c>
    </row>
    <row r="965" spans="1:3" x14ac:dyDescent="0.45">
      <c r="A965" t="s">
        <v>2290</v>
      </c>
      <c r="B965" t="str">
        <f>_xlfn.REGEXREPLACE([1]query1!B965, "https://doi.org/", "")</f>
        <v>10.1103/physrevc.101.025803</v>
      </c>
      <c r="C965">
        <v>0</v>
      </c>
    </row>
    <row r="966" spans="1:3" x14ac:dyDescent="0.45">
      <c r="A966" t="s">
        <v>2291</v>
      </c>
      <c r="B966" t="str">
        <f>_xlfn.REGEXREPLACE([1]query1!B966, "https://doi.org/", "")</f>
        <v>10.5194/egusphere-2022-99</v>
      </c>
      <c r="C966">
        <v>0</v>
      </c>
    </row>
    <row r="967" spans="1:3" x14ac:dyDescent="0.45">
      <c r="A967" t="s">
        <v>1595</v>
      </c>
      <c r="B967" t="str">
        <f>_xlfn.REGEXREPLACE([1]query1!B967, "https://doi.org/", "")</f>
        <v>10.1103/physrevresearch.6.l012008</v>
      </c>
      <c r="C967">
        <v>0</v>
      </c>
    </row>
    <row r="968" spans="1:3" x14ac:dyDescent="0.45">
      <c r="A968" t="s">
        <v>2292</v>
      </c>
      <c r="B968" t="str">
        <f>_xlfn.REGEXREPLACE([1]query1!B968, "https://doi.org/", "")</f>
        <v>10.1103/physrevc.108.034601</v>
      </c>
      <c r="C968">
        <v>0</v>
      </c>
    </row>
    <row r="969" spans="1:3" x14ac:dyDescent="0.45">
      <c r="A969" t="s">
        <v>1575</v>
      </c>
    </row>
  </sheetData>
  <autoFilter ref="A1:F969" xr:uid="{50979C75-AAC3-4472-8484-FEAF6EF099EF}"/>
  <conditionalFormatting sqref="B2:B968">
    <cfRule type="expression" dxfId="6" priority="2">
      <formula>COUNTIF($E:$E, B2)=0</formula>
    </cfRule>
    <cfRule type="expression" dxfId="5" priority="3">
      <formula>"ISNA(XLOOKUP(B2:B969,$E$2:$E$951,$E$2:$E$951)))"</formula>
    </cfRule>
  </conditionalFormatting>
  <conditionalFormatting sqref="E2:E950">
    <cfRule type="expression" dxfId="4" priority="1">
      <formula>COUNTIF($B:$B, E2)=0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1181-0C43-4C35-A872-05D1032D1322}">
  <dimension ref="A1:I330"/>
  <sheetViews>
    <sheetView workbookViewId="0">
      <selection sqref="A1:XFD1048576"/>
    </sheetView>
  </sheetViews>
  <sheetFormatPr defaultRowHeight="14.25" x14ac:dyDescent="0.45"/>
  <cols>
    <col min="1" max="2" width="43" customWidth="1"/>
    <col min="3" max="3" width="16" bestFit="1" customWidth="1"/>
    <col min="4" max="5" width="52.46484375" customWidth="1"/>
    <col min="6" max="6" width="13.265625" bestFit="1" customWidth="1"/>
    <col min="8" max="8" width="23.33203125" bestFit="1" customWidth="1"/>
    <col min="9" max="9" width="11.73046875" bestFit="1" customWidth="1"/>
  </cols>
  <sheetData>
    <row r="1" spans="1:9" x14ac:dyDescent="0.45">
      <c r="A1" s="11" t="s">
        <v>2293</v>
      </c>
      <c r="B1" s="11" t="s">
        <v>1</v>
      </c>
      <c r="C1" s="11" t="s">
        <v>2294</v>
      </c>
      <c r="D1" s="11" t="s">
        <v>2295</v>
      </c>
      <c r="E1" s="11" t="s">
        <v>4</v>
      </c>
      <c r="F1" s="11" t="s">
        <v>2296</v>
      </c>
      <c r="H1" s="2" t="s">
        <v>6</v>
      </c>
      <c r="I1" s="3"/>
    </row>
    <row r="2" spans="1:9" x14ac:dyDescent="0.45">
      <c r="A2" t="s">
        <v>2297</v>
      </c>
      <c r="B2" t="str">
        <f>_xlfn.REGEXREPLACE([2]query2!B2, "https://doi.org/","")</f>
        <v>10.1038/s41467-021-21219-y</v>
      </c>
      <c r="C2">
        <v>294</v>
      </c>
      <c r="D2" s="4" t="s">
        <v>2297</v>
      </c>
      <c r="E2" s="4" t="str">
        <f>'[2]rio results'!M2</f>
        <v>10.1038/s41467-021-21219-y</v>
      </c>
      <c r="F2" s="4">
        <v>279</v>
      </c>
      <c r="H2" s="5" t="s">
        <v>10</v>
      </c>
      <c r="I2" s="6" cm="1">
        <f t="array" ref="I2">COUNT(1-ISBLANK(A2:A200))</f>
        <v>199</v>
      </c>
    </row>
    <row r="3" spans="1:9" x14ac:dyDescent="0.45">
      <c r="A3" t="s">
        <v>2298</v>
      </c>
      <c r="B3" t="str">
        <f>_xlfn.REGEXREPLACE([2]query2!B3, "https://doi.org/","")</f>
        <v>10.1088/2631-8695/ac2353</v>
      </c>
      <c r="C3">
        <v>124</v>
      </c>
      <c r="D3" s="4" t="s">
        <v>2299</v>
      </c>
      <c r="E3" s="4" t="str">
        <f>'[2]rio results'!M3</f>
        <v>10.1136/bmj.m772</v>
      </c>
      <c r="F3" s="4">
        <v>170</v>
      </c>
      <c r="H3" s="7" t="s">
        <v>14</v>
      </c>
      <c r="I3" s="8" cm="1">
        <f t="array" ref="I3">COUNT(1-ISBLANK(D2:D330))</f>
        <v>329</v>
      </c>
    </row>
    <row r="4" spans="1:9" x14ac:dyDescent="0.45">
      <c r="A4" t="s">
        <v>57</v>
      </c>
      <c r="B4" t="str">
        <f>_xlfn.REGEXREPLACE([2]query2!B4, "https://doi.org/","")</f>
        <v>10.1126/sciadv.aba5847</v>
      </c>
      <c r="C4">
        <v>123</v>
      </c>
      <c r="D4" s="4" t="s">
        <v>2300</v>
      </c>
      <c r="E4" s="4" t="str">
        <f>'[2]rio results'!M4</f>
        <v>10.1038/s41586-022-04821-y</v>
      </c>
      <c r="F4" s="4">
        <v>142</v>
      </c>
      <c r="H4" s="9" t="s">
        <v>18</v>
      </c>
      <c r="I4" s="10" cm="1">
        <f t="array" ref="I4">SUM(IF(NOT(ISNA(_xlfn.XLOOKUP(B2:B200,$E$2:$E$330,$E$2:$E$330)))=TRUE, 1, 0))/I2</f>
        <v>0.74874371859296485</v>
      </c>
    </row>
    <row r="5" spans="1:9" x14ac:dyDescent="0.45">
      <c r="A5" t="s">
        <v>2301</v>
      </c>
      <c r="B5" t="str">
        <f>_xlfn.REGEXREPLACE([2]query2!B5, "https://doi.org/","")</f>
        <v>10.1038/s41598-020-75393-y</v>
      </c>
      <c r="C5">
        <v>82</v>
      </c>
      <c r="D5" s="4" t="s">
        <v>2302</v>
      </c>
      <c r="E5" s="4" t="str">
        <f>'[2]rio results'!M5</f>
        <v>10.1039/d3ta06953b</v>
      </c>
      <c r="F5" s="4">
        <v>122</v>
      </c>
      <c r="H5" s="9" t="s">
        <v>21</v>
      </c>
      <c r="I5" s="10" cm="1">
        <f t="array" ref="I5">SUM(IF(NOT(ISNA(_xlfn.XLOOKUP(E2:E330,$B$2:$B$200,$B$2:$B$200)))=TRUE, 1, 0))/I3</f>
        <v>0.45288753799392095</v>
      </c>
    </row>
    <row r="6" spans="1:9" x14ac:dyDescent="0.45">
      <c r="A6" t="s">
        <v>2303</v>
      </c>
      <c r="B6" t="str">
        <f>_xlfn.REGEXREPLACE([2]query2!B6, "https://doi.org/","")</f>
        <v>10.1016/j.cossms.2022.101016</v>
      </c>
      <c r="C6">
        <v>73</v>
      </c>
      <c r="D6" s="4" t="s">
        <v>2298</v>
      </c>
      <c r="E6" s="4" t="str">
        <f>'[2]rio results'!M6</f>
        <v>10.1088/2631-8695/ac2353</v>
      </c>
      <c r="F6" s="4">
        <v>121</v>
      </c>
    </row>
    <row r="7" spans="1:9" x14ac:dyDescent="0.45">
      <c r="A7" t="s">
        <v>88</v>
      </c>
      <c r="B7" t="str">
        <f>_xlfn.REGEXREPLACE([2]query2!B7, "https://doi.org/","")</f>
        <v>10.1016/j.ensm.2021.05.011</v>
      </c>
      <c r="C7">
        <v>71</v>
      </c>
      <c r="D7" s="4" t="s">
        <v>2304</v>
      </c>
      <c r="E7" s="4" t="str">
        <f>'[2]rio results'!M7</f>
        <v>10.1088/2515-7639/acc550</v>
      </c>
      <c r="F7" s="4">
        <v>111</v>
      </c>
    </row>
    <row r="8" spans="1:9" x14ac:dyDescent="0.45">
      <c r="A8" t="s">
        <v>2305</v>
      </c>
      <c r="B8" t="str">
        <f>_xlfn.REGEXREPLACE([2]query2!B8, "https://doi.org/","")</f>
        <v>10.1016/j.ijhydene.2022.10.080</v>
      </c>
      <c r="C8">
        <v>69</v>
      </c>
      <c r="D8" s="4" t="s">
        <v>2306</v>
      </c>
      <c r="E8" s="4" t="str">
        <f>'[2]rio results'!M8</f>
        <v>10.2967/jnumed.120.261016</v>
      </c>
      <c r="F8" s="4">
        <v>104</v>
      </c>
    </row>
    <row r="9" spans="1:9" x14ac:dyDescent="0.45">
      <c r="A9" t="s">
        <v>2307</v>
      </c>
      <c r="B9" t="str">
        <f>_xlfn.REGEXREPLACE([2]query2!B9, "https://doi.org/","")</f>
        <v>10.1016/j.tips.2024.03.004</v>
      </c>
      <c r="C9">
        <v>68</v>
      </c>
      <c r="D9" s="4" t="s">
        <v>2308</v>
      </c>
      <c r="E9" s="4" t="str">
        <f>'[2]rio results'!M9</f>
        <v>10.1038/s43586-021-00089-0</v>
      </c>
      <c r="F9" s="4">
        <v>90</v>
      </c>
    </row>
    <row r="10" spans="1:9" x14ac:dyDescent="0.45">
      <c r="A10" t="s">
        <v>2309</v>
      </c>
      <c r="B10" t="str">
        <f>_xlfn.REGEXREPLACE([2]query2!B10, "https://doi.org/","")</f>
        <v>10.1007/s13204-020-01542-4</v>
      </c>
      <c r="C10">
        <v>68</v>
      </c>
      <c r="D10" s="4" t="s">
        <v>105</v>
      </c>
      <c r="E10" s="4" t="str">
        <f>'[2]rio results'!M10</f>
        <v>10.1126/sciadv.aba5847</v>
      </c>
      <c r="F10" s="4">
        <v>89</v>
      </c>
    </row>
    <row r="11" spans="1:9" x14ac:dyDescent="0.45">
      <c r="A11" t="s">
        <v>2310</v>
      </c>
      <c r="B11" t="str">
        <f>_xlfn.REGEXREPLACE([2]query2!B11, "https://doi.org/","")</f>
        <v>10.1016/j.addma.2022.103357</v>
      </c>
      <c r="C11">
        <v>67</v>
      </c>
      <c r="D11" s="4" t="s">
        <v>2311</v>
      </c>
      <c r="E11" s="4" t="str">
        <f>'[2]rio results'!M11</f>
        <v>10.1093/wbro/lkaa001</v>
      </c>
      <c r="F11" s="4">
        <v>82</v>
      </c>
    </row>
    <row r="12" spans="1:9" x14ac:dyDescent="0.45">
      <c r="A12" t="s">
        <v>110</v>
      </c>
      <c r="B12" t="str">
        <f>_xlfn.REGEXREPLACE([2]query2!B12, "https://doi.org/","")</f>
        <v>10.1016/j.optmat.2021.111258</v>
      </c>
      <c r="C12">
        <v>64</v>
      </c>
      <c r="D12" s="4" t="s">
        <v>2312</v>
      </c>
      <c r="E12" s="4" t="str">
        <f>'[2]rio results'!M12</f>
        <v>10.1186/s41181-021-00121-4</v>
      </c>
      <c r="F12" s="4">
        <v>79</v>
      </c>
    </row>
    <row r="13" spans="1:9" x14ac:dyDescent="0.45">
      <c r="A13" t="s">
        <v>2313</v>
      </c>
      <c r="B13" t="str">
        <f>_xlfn.REGEXREPLACE([2]query2!B13, "https://doi.org/","")</f>
        <v>10.1016/j.ijhydene.2021.02.077</v>
      </c>
      <c r="C13">
        <v>62</v>
      </c>
      <c r="D13" s="4" t="s">
        <v>2310</v>
      </c>
      <c r="E13" s="4" t="str">
        <f>'[2]rio results'!M13</f>
        <v>10.1016/j.addma.2022.103357</v>
      </c>
      <c r="F13" s="4">
        <v>77</v>
      </c>
    </row>
    <row r="14" spans="1:9" x14ac:dyDescent="0.45">
      <c r="A14" t="s">
        <v>2314</v>
      </c>
      <c r="B14" t="str">
        <f>_xlfn.REGEXREPLACE([2]query2!B14, "https://doi.org/","")</f>
        <v>10.1016/j.electacta.2021.138358</v>
      </c>
      <c r="C14">
        <v>60</v>
      </c>
      <c r="D14" s="4" t="s">
        <v>2303</v>
      </c>
      <c r="E14" s="4" t="str">
        <f>'[2]rio results'!M14</f>
        <v>10.1016/j.cossms.2022.101016</v>
      </c>
      <c r="F14" s="4">
        <v>73</v>
      </c>
    </row>
    <row r="15" spans="1:9" x14ac:dyDescent="0.45">
      <c r="A15" t="s">
        <v>127</v>
      </c>
      <c r="B15" t="str">
        <f>_xlfn.REGEXREPLACE([2]query2!B15, "https://doi.org/","")</f>
        <v>10.1039/d0dt03313h</v>
      </c>
      <c r="C15">
        <v>58</v>
      </c>
      <c r="D15" s="4" t="s">
        <v>2315</v>
      </c>
      <c r="E15" s="4" t="str">
        <f>'[2]rio results'!M15</f>
        <v>10.14778/3447689.3447700</v>
      </c>
      <c r="F15" s="4">
        <v>71</v>
      </c>
    </row>
    <row r="16" spans="1:9" x14ac:dyDescent="0.45">
      <c r="A16" t="s">
        <v>2316</v>
      </c>
      <c r="B16" t="str">
        <f>_xlfn.REGEXREPLACE([2]query2!B16, "https://doi.org/","")</f>
        <v>10.1016/j.matdes.2020.108797</v>
      </c>
      <c r="C16">
        <v>56</v>
      </c>
      <c r="D16" s="4" t="s">
        <v>2301</v>
      </c>
      <c r="E16" s="4" t="str">
        <f>'[2]rio results'!M16</f>
        <v>10.1038/s41598-020-75393-y</v>
      </c>
      <c r="F16" s="4">
        <v>70</v>
      </c>
    </row>
    <row r="17" spans="1:6" x14ac:dyDescent="0.45">
      <c r="A17" t="s">
        <v>2317</v>
      </c>
      <c r="B17" t="str">
        <f>_xlfn.REGEXREPLACE([2]query2!B17, "https://doi.org/","")</f>
        <v>10.1016/j.est.2020.102020</v>
      </c>
      <c r="C17">
        <v>55</v>
      </c>
      <c r="D17" s="4" t="s">
        <v>2318</v>
      </c>
      <c r="E17" s="4" t="str">
        <f>'[2]rio results'!M17</f>
        <v>10.1021/acscatal.9b04347</v>
      </c>
      <c r="F17" s="4">
        <v>70</v>
      </c>
    </row>
    <row r="18" spans="1:6" x14ac:dyDescent="0.45">
      <c r="A18" t="s">
        <v>135</v>
      </c>
      <c r="B18" t="str">
        <f>_xlfn.REGEXREPLACE([2]query2!B18, "https://doi.org/","")</f>
        <v>10.1002/adma.202002534</v>
      </c>
      <c r="C18">
        <v>55</v>
      </c>
      <c r="D18" s="4" t="s">
        <v>2319</v>
      </c>
      <c r="E18" s="4" t="str">
        <f>'[2]rio results'!M18</f>
        <v>10.1109/TEM.2019.2893133</v>
      </c>
      <c r="F18" s="4">
        <v>68</v>
      </c>
    </row>
    <row r="19" spans="1:6" x14ac:dyDescent="0.45">
      <c r="A19" t="s">
        <v>160</v>
      </c>
      <c r="B19" t="str">
        <f>_xlfn.REGEXREPLACE([2]query2!B19, "https://doi.org/","")</f>
        <v>10.1021/acssensors.4c01717</v>
      </c>
      <c r="C19">
        <v>49</v>
      </c>
      <c r="D19" s="4" t="s">
        <v>2309</v>
      </c>
      <c r="E19" s="4" t="str">
        <f>'[2]rio results'!M19</f>
        <v>10.1007/s13204-020-01542-4</v>
      </c>
      <c r="F19" s="4">
        <v>65</v>
      </c>
    </row>
    <row r="20" spans="1:6" x14ac:dyDescent="0.45">
      <c r="A20" t="s">
        <v>2320</v>
      </c>
      <c r="B20" t="str">
        <f>_xlfn.REGEXREPLACE([2]query2!B20, "https://doi.org/","")</f>
        <v>10.1039/c9ra09628k</v>
      </c>
      <c r="C20">
        <v>46</v>
      </c>
      <c r="D20" s="4" t="s">
        <v>2307</v>
      </c>
      <c r="E20" s="4" t="str">
        <f>'[2]rio results'!M20</f>
        <v>10.1016/j.tips.2024.03.004</v>
      </c>
      <c r="F20" s="4">
        <v>64</v>
      </c>
    </row>
    <row r="21" spans="1:6" x14ac:dyDescent="0.45">
      <c r="A21" t="s">
        <v>171</v>
      </c>
      <c r="B21" t="str">
        <f>_xlfn.REGEXREPLACE([2]query2!B21, "https://doi.org/","")</f>
        <v>10.3389/fphys.2020.00813</v>
      </c>
      <c r="C21">
        <v>46</v>
      </c>
      <c r="D21" s="4" t="s">
        <v>2321</v>
      </c>
      <c r="E21" s="4" t="str">
        <f>'[2]rio results'!M21</f>
        <v>10.1002/adfm.202203300</v>
      </c>
      <c r="F21" s="4">
        <v>64</v>
      </c>
    </row>
    <row r="22" spans="1:6" x14ac:dyDescent="0.45">
      <c r="A22" t="s">
        <v>179</v>
      </c>
      <c r="B22" t="str">
        <f>_xlfn.REGEXREPLACE([2]query2!B22, "https://doi.org/","")</f>
        <v>10.1038/s41528-022-00139-x</v>
      </c>
      <c r="C22">
        <v>44</v>
      </c>
      <c r="D22" s="4" t="s">
        <v>2322</v>
      </c>
      <c r="E22" s="4" t="str">
        <f>'[2]rio results'!M22</f>
        <v>10.1016/j.electacta.2019.135575</v>
      </c>
      <c r="F22" s="4">
        <v>64</v>
      </c>
    </row>
    <row r="23" spans="1:6" x14ac:dyDescent="0.45">
      <c r="A23" t="s">
        <v>2323</v>
      </c>
      <c r="B23" t="str">
        <f>_xlfn.REGEXREPLACE([2]query2!B23, "https://doi.org/","")</f>
        <v>10.1002/adfm.202300973</v>
      </c>
      <c r="C23">
        <v>44</v>
      </c>
      <c r="D23" s="4" t="s">
        <v>2324</v>
      </c>
      <c r="E23" s="4" t="str">
        <f>'[2]rio results'!M23</f>
        <v>10.1007/s42242-021-00171-2</v>
      </c>
      <c r="F23" s="4">
        <v>63</v>
      </c>
    </row>
    <row r="24" spans="1:6" x14ac:dyDescent="0.45">
      <c r="A24" t="s">
        <v>181</v>
      </c>
      <c r="B24" t="str">
        <f>_xlfn.REGEXREPLACE([2]query2!B24, "https://doi.org/","")</f>
        <v>10.1016/j.carbon.2020.03.038</v>
      </c>
      <c r="C24">
        <v>43</v>
      </c>
      <c r="D24" s="4" t="s">
        <v>2325</v>
      </c>
      <c r="E24" s="4" t="str">
        <f>'[2]rio results'!M24</f>
        <v>10.1111/dar.13370</v>
      </c>
      <c r="F24" s="4">
        <v>62</v>
      </c>
    </row>
    <row r="25" spans="1:6" x14ac:dyDescent="0.45">
      <c r="A25" t="s">
        <v>2326</v>
      </c>
      <c r="B25" t="str">
        <f>_xlfn.REGEXREPLACE([2]query2!B25, "https://doi.org/","")</f>
        <v>10.1016/j.trac.2023.117223</v>
      </c>
      <c r="C25">
        <v>41</v>
      </c>
      <c r="D25" s="4" t="s">
        <v>2327</v>
      </c>
      <c r="E25" s="4" t="str">
        <f>'[2]rio results'!M25</f>
        <v>10.1145/3357236.3395569</v>
      </c>
      <c r="F25" s="4">
        <v>61</v>
      </c>
    </row>
    <row r="26" spans="1:6" x14ac:dyDescent="0.45">
      <c r="A26" t="s">
        <v>2328</v>
      </c>
      <c r="B26" t="str">
        <f>_xlfn.REGEXREPLACE([2]query2!B26, "https://doi.org/","")</f>
        <v>10.1177/0169796x221104855</v>
      </c>
      <c r="C26">
        <v>39</v>
      </c>
      <c r="D26" s="4" t="s">
        <v>2305</v>
      </c>
      <c r="E26" s="4" t="str">
        <f>'[2]rio results'!M26</f>
        <v>10.1016/j.ijhydene.2022.10.080</v>
      </c>
      <c r="F26" s="4">
        <v>60</v>
      </c>
    </row>
    <row r="27" spans="1:6" x14ac:dyDescent="0.45">
      <c r="A27" t="s">
        <v>2329</v>
      </c>
      <c r="B27" t="str">
        <f>_xlfn.REGEXREPLACE([2]query2!B27, "https://doi.org/","")</f>
        <v>10.1038/s41598-022-19111-w</v>
      </c>
      <c r="C27">
        <v>38</v>
      </c>
      <c r="D27" s="4" t="s">
        <v>2316</v>
      </c>
      <c r="E27" s="4" t="str">
        <f>'[2]rio results'!M27</f>
        <v>10.1016/j.matdes.2020.108797</v>
      </c>
      <c r="F27" s="4">
        <v>60</v>
      </c>
    </row>
    <row r="28" spans="1:6" x14ac:dyDescent="0.45">
      <c r="A28" t="s">
        <v>2330</v>
      </c>
      <c r="B28" t="str">
        <f>_xlfn.REGEXREPLACE([2]query2!B28, "https://doi.org/","")</f>
        <v>10.1557/s43579-023-00480-w</v>
      </c>
      <c r="C28">
        <v>37</v>
      </c>
      <c r="D28" s="4" t="s">
        <v>2313</v>
      </c>
      <c r="E28" s="4" t="str">
        <f>'[2]rio results'!M28</f>
        <v>10.1016/j.ijhydene.2021.02.077</v>
      </c>
      <c r="F28" s="4">
        <v>57</v>
      </c>
    </row>
    <row r="29" spans="1:6" x14ac:dyDescent="0.45">
      <c r="A29" t="s">
        <v>2331</v>
      </c>
      <c r="B29" t="str">
        <f>_xlfn.REGEXREPLACE([2]query2!B29, "https://doi.org/","")</f>
        <v>10.1002/admt.202201897</v>
      </c>
      <c r="C29">
        <v>36</v>
      </c>
      <c r="D29" s="4" t="s">
        <v>156</v>
      </c>
      <c r="E29" s="4" t="str">
        <f>'[2]rio results'!M29</f>
        <v>10.1039/d0dt03313h</v>
      </c>
      <c r="F29" s="4">
        <v>57</v>
      </c>
    </row>
    <row r="30" spans="1:6" x14ac:dyDescent="0.45">
      <c r="A30" t="s">
        <v>2332</v>
      </c>
      <c r="B30" t="str">
        <f>_xlfn.REGEXREPLACE([2]query2!B30, "https://doi.org/","")</f>
        <v>10.1016/j.electacta.2022.141676</v>
      </c>
      <c r="C30">
        <v>36</v>
      </c>
      <c r="D30" s="4" t="s">
        <v>110</v>
      </c>
      <c r="E30" s="4" t="str">
        <f>'[2]rio results'!M30</f>
        <v>10.1016/j.optmat.2021.111258</v>
      </c>
      <c r="F30" s="4">
        <v>56</v>
      </c>
    </row>
    <row r="31" spans="1:6" x14ac:dyDescent="0.45">
      <c r="A31" t="s">
        <v>2333</v>
      </c>
      <c r="B31" t="str">
        <f>_xlfn.REGEXREPLACE([2]query2!B31, "https://doi.org/","")</f>
        <v>10.1038/s41378-022-00465-0</v>
      </c>
      <c r="C31">
        <v>35</v>
      </c>
      <c r="D31" s="4" t="s">
        <v>2334</v>
      </c>
      <c r="E31" s="4" t="str">
        <f>'[2]rio results'!M31</f>
        <v>10.1016/j.electacta.2021.138358</v>
      </c>
      <c r="F31" s="4">
        <v>55</v>
      </c>
    </row>
    <row r="32" spans="1:6" x14ac:dyDescent="0.45">
      <c r="A32" t="s">
        <v>2335</v>
      </c>
      <c r="B32" t="str">
        <f>_xlfn.REGEXREPLACE([2]query2!B32, "https://doi.org/","")</f>
        <v>10.1021/acs.analchem.1c03393</v>
      </c>
      <c r="C32">
        <v>35</v>
      </c>
      <c r="D32" s="4" t="s">
        <v>135</v>
      </c>
      <c r="E32" s="4" t="str">
        <f>'[2]rio results'!M32</f>
        <v>10.1002/adma.202002534</v>
      </c>
      <c r="F32" s="4">
        <v>54</v>
      </c>
    </row>
    <row r="33" spans="1:6" x14ac:dyDescent="0.45">
      <c r="A33" t="s">
        <v>2336</v>
      </c>
      <c r="B33" t="str">
        <f>_xlfn.REGEXREPLACE([2]query2!B33, "https://doi.org/","")</f>
        <v>10.1021/acsnano.3c03593</v>
      </c>
      <c r="C33">
        <v>35</v>
      </c>
      <c r="D33" s="4" t="s">
        <v>2317</v>
      </c>
      <c r="E33" s="4" t="str">
        <f>'[2]rio results'!M33</f>
        <v>10.1016/j.est.2020.102020</v>
      </c>
      <c r="F33" s="4">
        <v>52</v>
      </c>
    </row>
    <row r="34" spans="1:6" x14ac:dyDescent="0.45">
      <c r="A34" t="s">
        <v>2337</v>
      </c>
      <c r="B34" t="str">
        <f>_xlfn.REGEXREPLACE([2]query2!B34, "https://doi.org/","")</f>
        <v>10.1039/d0mh00785d</v>
      </c>
      <c r="C34">
        <v>34</v>
      </c>
      <c r="D34" s="4" t="s">
        <v>2338</v>
      </c>
      <c r="E34" s="4" t="str">
        <f>'[2]rio results'!M34</f>
        <v>10.1016/j.seta.2022.102196</v>
      </c>
      <c r="F34" s="4">
        <v>51</v>
      </c>
    </row>
    <row r="35" spans="1:6" x14ac:dyDescent="0.45">
      <c r="A35" t="s">
        <v>2339</v>
      </c>
      <c r="B35" t="str">
        <f>_xlfn.REGEXREPLACE([2]query2!B35, "https://doi.org/","")</f>
        <v>10.1021/acs.analchem.3c05190</v>
      </c>
      <c r="C35">
        <v>34</v>
      </c>
      <c r="D35" s="4" t="s">
        <v>2340</v>
      </c>
      <c r="E35" s="4" t="str">
        <f>'[2]rio results'!M35</f>
        <v>10.1016/j.nanoen.2024.109504</v>
      </c>
      <c r="F35" s="4">
        <v>47</v>
      </c>
    </row>
    <row r="36" spans="1:6" x14ac:dyDescent="0.45">
      <c r="A36" t="s">
        <v>2341</v>
      </c>
      <c r="B36" t="str">
        <f>_xlfn.REGEXREPLACE([2]query2!B36, "https://doi.org/","")</f>
        <v>10.1016/j.isci.2022.104119</v>
      </c>
      <c r="C36">
        <v>32</v>
      </c>
      <c r="D36" s="4" t="s">
        <v>2342</v>
      </c>
      <c r="E36" s="4" t="str">
        <f>'[2]rio results'!M36</f>
        <v>10.1039/c9ra09628k</v>
      </c>
      <c r="F36" s="4">
        <v>45</v>
      </c>
    </row>
    <row r="37" spans="1:6" x14ac:dyDescent="0.45">
      <c r="A37" t="s">
        <v>2343</v>
      </c>
      <c r="B37" t="str">
        <f>_xlfn.REGEXREPLACE([2]query2!B37, "https://doi.org/","")</f>
        <v>10.1016/j.mser.2024.100876</v>
      </c>
      <c r="C37">
        <v>31</v>
      </c>
      <c r="D37" s="4" t="s">
        <v>2328</v>
      </c>
      <c r="E37" s="4" t="str">
        <f>'[2]rio results'!M37</f>
        <v>10.1177/0169796X221104855</v>
      </c>
      <c r="F37" s="4">
        <v>44</v>
      </c>
    </row>
    <row r="38" spans="1:6" x14ac:dyDescent="0.45">
      <c r="A38" t="s">
        <v>2344</v>
      </c>
      <c r="B38" t="str">
        <f>_xlfn.REGEXREPLACE([2]query2!B38, "https://doi.org/","")</f>
        <v>10.1088/1361-6528/acca8b</v>
      </c>
      <c r="C38">
        <v>31</v>
      </c>
      <c r="D38" s="4" t="s">
        <v>2345</v>
      </c>
      <c r="E38" s="4" t="str">
        <f>'[2]rio results'!M38</f>
        <v>10.1021/acscentsci.1c01108</v>
      </c>
      <c r="F38" s="4">
        <v>44</v>
      </c>
    </row>
    <row r="39" spans="1:6" x14ac:dyDescent="0.45">
      <c r="A39" t="s">
        <v>2346</v>
      </c>
      <c r="B39" t="str">
        <f>_xlfn.REGEXREPLACE([2]query2!B39, "https://doi.org/","")</f>
        <v>10.1016/j.oceaneng.2024.119294</v>
      </c>
      <c r="C39">
        <v>29</v>
      </c>
      <c r="D39" s="4" t="s">
        <v>2347</v>
      </c>
      <c r="E39" s="4" t="str">
        <f>'[2]rio results'!M39</f>
        <v>10.1007/978-3-030-58568-6_21</v>
      </c>
      <c r="F39" s="4">
        <v>44</v>
      </c>
    </row>
    <row r="40" spans="1:6" x14ac:dyDescent="0.45">
      <c r="A40" t="s">
        <v>2348</v>
      </c>
      <c r="B40" t="str">
        <f>_xlfn.REGEXREPLACE([2]query2!B40, "https://doi.org/","")</f>
        <v>10.3389/frobt.2020.573096</v>
      </c>
      <c r="C40">
        <v>28</v>
      </c>
      <c r="D40" s="4" t="s">
        <v>160</v>
      </c>
      <c r="E40" s="4" t="str">
        <f>'[2]rio results'!M40</f>
        <v>10.1021/acssensors.4c01717</v>
      </c>
      <c r="F40" s="4">
        <v>43</v>
      </c>
    </row>
    <row r="41" spans="1:6" x14ac:dyDescent="0.45">
      <c r="A41" t="s">
        <v>2349</v>
      </c>
      <c r="B41" t="str">
        <f>_xlfn.REGEXREPLACE([2]query2!B41, "https://doi.org/","")</f>
        <v>10.1038/s44172-023-00097-w</v>
      </c>
      <c r="C41">
        <v>27</v>
      </c>
      <c r="D41" s="4" t="s">
        <v>2350</v>
      </c>
      <c r="E41" s="4" t="str">
        <f>'[2]rio results'!M41</f>
        <v>10.1038/s41565-022-01280-4</v>
      </c>
      <c r="F41" s="4">
        <v>41</v>
      </c>
    </row>
    <row r="42" spans="1:6" x14ac:dyDescent="0.45">
      <c r="A42" t="s">
        <v>2351</v>
      </c>
      <c r="B42" t="str">
        <f>_xlfn.REGEXREPLACE([2]query2!B42, "https://doi.org/","")</f>
        <v>10.1063/5.0244878</v>
      </c>
      <c r="C42">
        <v>26</v>
      </c>
      <c r="D42" s="4" t="s">
        <v>2352</v>
      </c>
      <c r="E42" s="4" t="str">
        <f>'[2]rio results'!M42</f>
        <v>10.1002/admt.202000938</v>
      </c>
      <c r="F42" s="4">
        <v>41</v>
      </c>
    </row>
    <row r="43" spans="1:6" x14ac:dyDescent="0.45">
      <c r="A43" t="s">
        <v>2353</v>
      </c>
      <c r="B43" t="str">
        <f>_xlfn.REGEXREPLACE([2]query2!B43, "https://doi.org/","")</f>
        <v>10.1039/d1ce00962a</v>
      </c>
      <c r="C43">
        <v>26</v>
      </c>
      <c r="D43" s="4" t="s">
        <v>179</v>
      </c>
      <c r="E43" s="4" t="str">
        <f>'[2]rio results'!M43</f>
        <v>10.1038/s41528-022-00139-x</v>
      </c>
      <c r="F43" s="4">
        <v>39</v>
      </c>
    </row>
    <row r="44" spans="1:6" x14ac:dyDescent="0.45">
      <c r="A44" t="s">
        <v>2354</v>
      </c>
      <c r="B44" t="str">
        <f>_xlfn.REGEXREPLACE([2]query2!B44, "https://doi.org/","")</f>
        <v>10.1002/admt.202201349</v>
      </c>
      <c r="C44">
        <v>25</v>
      </c>
      <c r="D44" s="4" t="s">
        <v>181</v>
      </c>
      <c r="E44" s="4" t="str">
        <f>'[2]rio results'!M44</f>
        <v>10.1016/j.carbon.2020.03.038</v>
      </c>
      <c r="F44" s="4">
        <v>38</v>
      </c>
    </row>
    <row r="45" spans="1:6" x14ac:dyDescent="0.45">
      <c r="A45" t="s">
        <v>2355</v>
      </c>
      <c r="B45" t="str">
        <f>_xlfn.REGEXREPLACE([2]query2!B45, "https://doi.org/","")</f>
        <v>10.1038/s41528-024-00309-z</v>
      </c>
      <c r="C45">
        <v>24</v>
      </c>
      <c r="D45" s="4" t="s">
        <v>2356</v>
      </c>
      <c r="E45" s="4" t="str">
        <f>'[2]rio results'!M45</f>
        <v>10.1007/s10816-020-09445-y</v>
      </c>
      <c r="F45" s="4">
        <v>37</v>
      </c>
    </row>
    <row r="46" spans="1:6" x14ac:dyDescent="0.45">
      <c r="A46" t="s">
        <v>2357</v>
      </c>
      <c r="B46" t="str">
        <f>_xlfn.REGEXREPLACE([2]query2!B46, "https://doi.org/","")</f>
        <v>10.1016/j.ijhydene.2024.11.288</v>
      </c>
      <c r="C46">
        <v>24</v>
      </c>
      <c r="D46" s="4" t="s">
        <v>2358</v>
      </c>
      <c r="E46" s="4" t="str">
        <f>'[2]rio results'!M46</f>
        <v>10.1016/j.ejor.2020.01.061</v>
      </c>
      <c r="F46" s="4">
        <v>37</v>
      </c>
    </row>
    <row r="47" spans="1:6" x14ac:dyDescent="0.45">
      <c r="A47" t="s">
        <v>2359</v>
      </c>
      <c r="B47" t="str">
        <f>_xlfn.REGEXREPLACE([2]query2!B47, "https://doi.org/","")</f>
        <v>10.1016/j.jpowsour.2020.228714</v>
      </c>
      <c r="C47">
        <v>23</v>
      </c>
      <c r="D47" s="4" t="s">
        <v>171</v>
      </c>
      <c r="E47" s="4" t="str">
        <f>'[2]rio results'!M47</f>
        <v>10.3389/fphys.2020.00813</v>
      </c>
      <c r="F47" s="4">
        <v>37</v>
      </c>
    </row>
    <row r="48" spans="1:6" x14ac:dyDescent="0.45">
      <c r="A48" t="s">
        <v>2360</v>
      </c>
      <c r="B48" t="str">
        <f>_xlfn.REGEXREPLACE([2]query2!B48, "https://doi.org/","")</f>
        <v>10.1364/oe.417724</v>
      </c>
      <c r="C48">
        <v>23</v>
      </c>
      <c r="D48" s="4" t="s">
        <v>2361</v>
      </c>
      <c r="E48" s="4" t="str">
        <f>'[2]rio results'!M48</f>
        <v>10.1088/1402-4896/ac2024</v>
      </c>
      <c r="F48" s="4">
        <v>36</v>
      </c>
    </row>
    <row r="49" spans="1:6" x14ac:dyDescent="0.45">
      <c r="A49" t="s">
        <v>2362</v>
      </c>
      <c r="B49" t="str">
        <f>_xlfn.REGEXREPLACE([2]query2!B49, "https://doi.org/","")</f>
        <v>10.1016/j.jmapro.2024.01.029</v>
      </c>
      <c r="C49">
        <v>22</v>
      </c>
      <c r="D49" s="4" t="s">
        <v>2363</v>
      </c>
      <c r="E49" s="4" t="str">
        <f>'[2]rio results'!M49</f>
        <v>10.1093/police/paaa040</v>
      </c>
      <c r="F49" s="4">
        <v>36</v>
      </c>
    </row>
    <row r="50" spans="1:6" x14ac:dyDescent="0.45">
      <c r="A50" t="s">
        <v>2364</v>
      </c>
      <c r="B50" t="str">
        <f>_xlfn.REGEXREPLACE([2]query2!B50, "https://doi.org/","")</f>
        <v>10.1016/b978-0-12-823144-9.00069-8</v>
      </c>
      <c r="C50">
        <v>22</v>
      </c>
      <c r="D50" s="4" t="s">
        <v>2326</v>
      </c>
      <c r="E50" s="4" t="str">
        <f>'[2]rio results'!M50</f>
        <v>10.1016/j.trac.2023.117223</v>
      </c>
      <c r="F50" s="4">
        <v>35</v>
      </c>
    </row>
    <row r="51" spans="1:6" x14ac:dyDescent="0.45">
      <c r="A51" t="s">
        <v>2365</v>
      </c>
      <c r="B51" t="str">
        <f>_xlfn.REGEXREPLACE([2]query2!B51, "https://doi.org/","")</f>
        <v>10.1002/er.6974</v>
      </c>
      <c r="C51">
        <v>22</v>
      </c>
      <c r="D51" s="4" t="s">
        <v>2366</v>
      </c>
      <c r="E51" s="4" t="str">
        <f>'[2]rio results'!M51</f>
        <v>10.1021/acsaelm.1c00296</v>
      </c>
      <c r="F51" s="4">
        <v>35</v>
      </c>
    </row>
    <row r="52" spans="1:6" x14ac:dyDescent="0.45">
      <c r="A52" t="s">
        <v>2367</v>
      </c>
      <c r="B52" t="str">
        <f>_xlfn.REGEXREPLACE([2]query2!B52, "https://doi.org/","")</f>
        <v>10.1016/j.enggeo.2020.105693</v>
      </c>
      <c r="C52">
        <v>22</v>
      </c>
      <c r="D52" s="4" t="s">
        <v>2329</v>
      </c>
      <c r="E52" s="4" t="str">
        <f>'[2]rio results'!M52</f>
        <v>10.1038/s41598-022-19111-w</v>
      </c>
      <c r="F52" s="4">
        <v>34</v>
      </c>
    </row>
    <row r="53" spans="1:6" x14ac:dyDescent="0.45">
      <c r="A53" t="s">
        <v>2368</v>
      </c>
      <c r="B53" t="str">
        <f>_xlfn.REGEXREPLACE([2]query2!B53, "https://doi.org/","")</f>
        <v>10.1021/acs.chemmater.1c03450</v>
      </c>
      <c r="C53">
        <v>21</v>
      </c>
      <c r="D53" s="4" t="s">
        <v>2369</v>
      </c>
      <c r="E53" s="4" t="str">
        <f>'[2]rio results'!M53</f>
        <v>10.1021/acsnano.3c03593</v>
      </c>
      <c r="F53" s="4">
        <v>33</v>
      </c>
    </row>
    <row r="54" spans="1:6" x14ac:dyDescent="0.45">
      <c r="A54" t="s">
        <v>2370</v>
      </c>
      <c r="B54" t="str">
        <f>_xlfn.REGEXREPLACE([2]query2!B54, "https://doi.org/","")</f>
        <v>10.1039/c9mh01782h</v>
      </c>
      <c r="C54">
        <v>21</v>
      </c>
      <c r="D54" s="4" t="s">
        <v>2332</v>
      </c>
      <c r="E54" s="4" t="str">
        <f>'[2]rio results'!M54</f>
        <v>10.1016/j.electacta.2022.141676</v>
      </c>
      <c r="F54" s="4">
        <v>33</v>
      </c>
    </row>
    <row r="55" spans="1:6" x14ac:dyDescent="0.45">
      <c r="A55" t="s">
        <v>2371</v>
      </c>
      <c r="B55" t="str">
        <f>_xlfn.REGEXREPLACE([2]query2!B55, "https://doi.org/","")</f>
        <v>10.1016/j.snb.2021.129527</v>
      </c>
      <c r="C55">
        <v>21</v>
      </c>
      <c r="D55" s="4" t="s">
        <v>2372</v>
      </c>
      <c r="E55" s="4" t="str">
        <f>'[2]rio results'!M55</f>
        <v>10.1016/j.enggeo.2021.106238</v>
      </c>
      <c r="F55" s="4">
        <v>33</v>
      </c>
    </row>
    <row r="56" spans="1:6" x14ac:dyDescent="0.45">
      <c r="A56" t="s">
        <v>2373</v>
      </c>
      <c r="B56" t="str">
        <f>_xlfn.REGEXREPLACE([2]query2!B56, "https://doi.org/","")</f>
        <v>10.1021/acsaem.9b01754</v>
      </c>
      <c r="C56">
        <v>21</v>
      </c>
      <c r="D56" s="4" t="s">
        <v>2331</v>
      </c>
      <c r="E56" s="4" t="str">
        <f>'[2]rio results'!M56</f>
        <v>10.1002/admt.202201897</v>
      </c>
      <c r="F56" s="4">
        <v>32</v>
      </c>
    </row>
    <row r="57" spans="1:6" x14ac:dyDescent="0.45">
      <c r="A57" t="s">
        <v>2374</v>
      </c>
      <c r="B57" t="str">
        <f>_xlfn.REGEXREPLACE([2]query2!B57, "https://doi.org/","")</f>
        <v>10.3390/s24082585</v>
      </c>
      <c r="C57">
        <v>21</v>
      </c>
      <c r="D57" s="4" t="s">
        <v>2335</v>
      </c>
      <c r="E57" s="4" t="str">
        <f>'[2]rio results'!M57</f>
        <v>10.1021/acs.analchem.1c03393</v>
      </c>
      <c r="F57" s="4">
        <v>32</v>
      </c>
    </row>
    <row r="58" spans="1:6" x14ac:dyDescent="0.45">
      <c r="A58" t="s">
        <v>722</v>
      </c>
      <c r="B58" t="str">
        <f>_xlfn.REGEXREPLACE([2]query2!B58, "https://doi.org/","")</f>
        <v>10.1039/d4ey00104d</v>
      </c>
      <c r="C58">
        <v>19</v>
      </c>
      <c r="D58" s="4" t="s">
        <v>2375</v>
      </c>
      <c r="E58" s="4" t="str">
        <f>'[2]rio results'!M58</f>
        <v>10.1016/j.apsusc.2021.150126</v>
      </c>
      <c r="F58" s="4">
        <v>31</v>
      </c>
    </row>
    <row r="59" spans="1:6" x14ac:dyDescent="0.45">
      <c r="A59" t="s">
        <v>2376</v>
      </c>
      <c r="B59" t="str">
        <f>_xlfn.REGEXREPLACE([2]query2!B59, "https://doi.org/","")</f>
        <v>10.1021/acs.accounts.4c00308</v>
      </c>
      <c r="C59">
        <v>19</v>
      </c>
      <c r="D59" s="4" t="s">
        <v>2377</v>
      </c>
      <c r="E59" s="4" t="str">
        <f>'[2]rio results'!M59</f>
        <v>10.1149/1945-7111/abc99e</v>
      </c>
      <c r="F59" s="4">
        <v>31</v>
      </c>
    </row>
    <row r="60" spans="1:6" x14ac:dyDescent="0.45">
      <c r="A60" t="s">
        <v>432</v>
      </c>
      <c r="B60" t="str">
        <f>_xlfn.REGEXREPLACE([2]query2!B60, "https://doi.org/","")</f>
        <v>10.1016/j.ijfatigue.2020.105697</v>
      </c>
      <c r="C60">
        <v>19</v>
      </c>
      <c r="D60" s="4" t="s">
        <v>2378</v>
      </c>
      <c r="E60" s="4" t="str">
        <f>'[2]rio results'!M60</f>
        <v>10.1557/s43579-023-00480-w</v>
      </c>
      <c r="F60" s="4">
        <v>30</v>
      </c>
    </row>
    <row r="61" spans="1:6" x14ac:dyDescent="0.45">
      <c r="A61" t="s">
        <v>2379</v>
      </c>
      <c r="B61" t="str">
        <f>_xlfn.REGEXREPLACE([2]query2!B61, "https://doi.org/","")</f>
        <v>10.1021/acsaem.0c00069</v>
      </c>
      <c r="C61">
        <v>18</v>
      </c>
      <c r="D61" s="4" t="s">
        <v>2333</v>
      </c>
      <c r="E61" s="4" t="str">
        <f>'[2]rio results'!M61</f>
        <v>10.1038/s41378-022-00465-0</v>
      </c>
      <c r="F61" s="4">
        <v>30</v>
      </c>
    </row>
    <row r="62" spans="1:6" x14ac:dyDescent="0.45">
      <c r="A62" t="s">
        <v>2380</v>
      </c>
      <c r="B62" t="str">
        <f>_xlfn.REGEXREPLACE([2]query2!B62, "https://doi.org/","")</f>
        <v>10.1063/5.0020661</v>
      </c>
      <c r="C62">
        <v>18</v>
      </c>
      <c r="D62" s="4" t="s">
        <v>2381</v>
      </c>
      <c r="E62" s="4" t="str">
        <f>'[2]rio results'!M62</f>
        <v>10.1093/annweh/wxaa001</v>
      </c>
      <c r="F62" s="4">
        <v>30</v>
      </c>
    </row>
    <row r="63" spans="1:6" x14ac:dyDescent="0.45">
      <c r="A63" t="s">
        <v>2382</v>
      </c>
      <c r="B63" t="str">
        <f>_xlfn.REGEXREPLACE([2]query2!B63, "https://doi.org/","")</f>
        <v>10.1016/j.matdes.2023.112332</v>
      </c>
      <c r="C63">
        <v>17</v>
      </c>
      <c r="D63" s="4" t="s">
        <v>2383</v>
      </c>
      <c r="E63" s="4" t="str">
        <f>'[2]rio results'!M63</f>
        <v>10.1088/1361-6528/acca8b</v>
      </c>
      <c r="F63" s="4">
        <v>29</v>
      </c>
    </row>
    <row r="64" spans="1:6" x14ac:dyDescent="0.45">
      <c r="A64" t="s">
        <v>2384</v>
      </c>
      <c r="B64" t="str">
        <f>_xlfn.REGEXREPLACE([2]query2!B64, "https://doi.org/","")</f>
        <v>10.1111/1365-2435.13621</v>
      </c>
      <c r="C64">
        <v>17</v>
      </c>
      <c r="D64" s="4" t="s">
        <v>264</v>
      </c>
      <c r="E64" s="4" t="str">
        <f>'[2]rio results'!M64</f>
        <v>10.1016/j.enconman.2021.114805</v>
      </c>
      <c r="F64" s="4">
        <v>29</v>
      </c>
    </row>
    <row r="65" spans="1:6" x14ac:dyDescent="0.45">
      <c r="A65" t="s">
        <v>2385</v>
      </c>
      <c r="B65" t="str">
        <f>_xlfn.REGEXREPLACE([2]query2!B65, "https://doi.org/","")</f>
        <v>10.1002/aisy.202200189</v>
      </c>
      <c r="C65">
        <v>16</v>
      </c>
      <c r="D65" s="4" t="s">
        <v>2337</v>
      </c>
      <c r="E65" s="4" t="str">
        <f>'[2]rio results'!M65</f>
        <v>10.1039/d0mh00785d</v>
      </c>
      <c r="F65" s="4">
        <v>29</v>
      </c>
    </row>
    <row r="66" spans="1:6" x14ac:dyDescent="0.45">
      <c r="A66" t="s">
        <v>2386</v>
      </c>
      <c r="B66" t="str">
        <f>_xlfn.REGEXREPLACE([2]query2!B66, "https://doi.org/","")</f>
        <v>10.3390/s21175947</v>
      </c>
      <c r="C66">
        <v>16</v>
      </c>
      <c r="D66" s="4" t="s">
        <v>2339</v>
      </c>
      <c r="E66" s="4" t="str">
        <f>'[2]rio results'!M66</f>
        <v>10.1021/acs.analchem.3c05190</v>
      </c>
      <c r="F66" s="4">
        <v>28</v>
      </c>
    </row>
    <row r="67" spans="1:6" x14ac:dyDescent="0.45">
      <c r="A67" t="s">
        <v>2387</v>
      </c>
      <c r="B67" t="str">
        <f>_xlfn.REGEXREPLACE([2]query2!B67, "https://doi.org/","")</f>
        <v>10.1063/5.0081185</v>
      </c>
      <c r="C67">
        <v>16</v>
      </c>
      <c r="D67" s="4" t="s">
        <v>2388</v>
      </c>
      <c r="E67" s="4" t="str">
        <f>'[2]rio results'!M67</f>
        <v>10.3390/en16196809</v>
      </c>
      <c r="F67" s="4">
        <v>28</v>
      </c>
    </row>
    <row r="68" spans="1:6" x14ac:dyDescent="0.45">
      <c r="A68" t="s">
        <v>2389</v>
      </c>
      <c r="B68" t="str">
        <f>_xlfn.REGEXREPLACE([2]query2!B68, "https://doi.org/","")</f>
        <v>10.1016/j.jpowsour.2024.235537</v>
      </c>
      <c r="C68">
        <v>15</v>
      </c>
      <c r="D68" s="4" t="s">
        <v>2341</v>
      </c>
      <c r="E68" s="4" t="str">
        <f>'[2]rio results'!M68</f>
        <v>10.1016/j.isci.2022.104119</v>
      </c>
      <c r="F68" s="4">
        <v>28</v>
      </c>
    </row>
    <row r="69" spans="1:6" x14ac:dyDescent="0.45">
      <c r="A69" t="s">
        <v>2390</v>
      </c>
      <c r="B69" t="str">
        <f>_xlfn.REGEXREPLACE([2]query2!B69, "https://doi.org/","")</f>
        <v>10.1039/c9tc06454k</v>
      </c>
      <c r="C69">
        <v>14</v>
      </c>
      <c r="D69" s="4" t="s">
        <v>283</v>
      </c>
      <c r="E69" s="4" t="str">
        <f>'[2]rio results'!M69</f>
        <v>10.1007/s10346-020-01552-x</v>
      </c>
      <c r="F69" s="4">
        <v>28</v>
      </c>
    </row>
    <row r="70" spans="1:6" x14ac:dyDescent="0.45">
      <c r="A70" t="s">
        <v>2391</v>
      </c>
      <c r="B70" t="str">
        <f>_xlfn.REGEXREPLACE([2]query2!B70, "https://doi.org/","")</f>
        <v>10.1038/s41699-023-00433-w</v>
      </c>
      <c r="C70">
        <v>14</v>
      </c>
      <c r="D70" s="4" t="s">
        <v>2346</v>
      </c>
      <c r="E70" s="4" t="str">
        <f>'[2]rio results'!M70</f>
        <v>10.1016/j.oceaneng.2024.119294</v>
      </c>
      <c r="F70" s="4">
        <v>27</v>
      </c>
    </row>
    <row r="71" spans="1:6" x14ac:dyDescent="0.45">
      <c r="A71" t="s">
        <v>577</v>
      </c>
      <c r="B71" t="str">
        <f>_xlfn.REGEXREPLACE([2]query2!B71, "https://doi.org/","")</f>
        <v>10.1088/1361-6528/ab72b6</v>
      </c>
      <c r="C71">
        <v>14</v>
      </c>
      <c r="D71" s="4" t="s">
        <v>2348</v>
      </c>
      <c r="E71" s="4" t="str">
        <f>'[2]rio results'!M71</f>
        <v>10.3389/frobt.2020.573096</v>
      </c>
      <c r="F71" s="4">
        <v>27</v>
      </c>
    </row>
    <row r="72" spans="1:6" x14ac:dyDescent="0.45">
      <c r="A72" t="s">
        <v>570</v>
      </c>
      <c r="B72" t="str">
        <f>_xlfn.REGEXREPLACE([2]query2!B72, "https://doi.org/","")</f>
        <v>10.3390/s21010225</v>
      </c>
      <c r="C72">
        <v>14</v>
      </c>
      <c r="D72" s="4" t="s">
        <v>2392</v>
      </c>
      <c r="E72" s="4" t="str">
        <f>'[2]rio results'!M72</f>
        <v>10.1016/j.jcat.2023.04.008</v>
      </c>
      <c r="F72" s="4">
        <v>26</v>
      </c>
    </row>
    <row r="73" spans="1:6" x14ac:dyDescent="0.45">
      <c r="A73" t="s">
        <v>2393</v>
      </c>
      <c r="B73" t="str">
        <f>_xlfn.REGEXREPLACE([2]query2!B73, "https://doi.org/","")</f>
        <v>10.1016/j.clet.2020.100024</v>
      </c>
      <c r="C73">
        <v>13</v>
      </c>
      <c r="D73" s="4" t="s">
        <v>2394</v>
      </c>
      <c r="E73" s="4" t="str">
        <f>'[2]rio results'!M73</f>
        <v>10.1016/j.aquatox.2020.105446</v>
      </c>
      <c r="F73" s="4">
        <v>26</v>
      </c>
    </row>
    <row r="74" spans="1:6" x14ac:dyDescent="0.45">
      <c r="A74" t="s">
        <v>2395</v>
      </c>
      <c r="B74" t="str">
        <f>_xlfn.REGEXREPLACE([2]query2!B74, "https://doi.org/","")</f>
        <v>10.1016/j.powtec.2020.04.031</v>
      </c>
      <c r="C74">
        <v>13</v>
      </c>
      <c r="D74" s="4" t="s">
        <v>2349</v>
      </c>
      <c r="E74" s="4" t="str">
        <f>'[2]rio results'!M74</f>
        <v>10.1038/s44172-023-00097-w</v>
      </c>
      <c r="F74" s="4">
        <v>25</v>
      </c>
    </row>
    <row r="75" spans="1:6" x14ac:dyDescent="0.45">
      <c r="A75" t="s">
        <v>2396</v>
      </c>
      <c r="B75" t="str">
        <f>_xlfn.REGEXREPLACE([2]query2!B75, "https://doi.org/","")</f>
        <v>10.1177/0169796x221104856</v>
      </c>
      <c r="C75">
        <v>13</v>
      </c>
      <c r="D75" s="4" t="s">
        <v>2397</v>
      </c>
      <c r="E75" s="4" t="str">
        <f>'[2]rio results'!M75</f>
        <v>10.1038/s41598-023-37313-8</v>
      </c>
      <c r="F75" s="4">
        <v>24</v>
      </c>
    </row>
    <row r="76" spans="1:6" x14ac:dyDescent="0.45">
      <c r="A76" t="s">
        <v>2398</v>
      </c>
      <c r="B76" t="str">
        <f>_xlfn.REGEXREPLACE([2]query2!B76, "https://doi.org/","")</f>
        <v>10.1002/adsr.202300003</v>
      </c>
      <c r="C76">
        <v>12</v>
      </c>
      <c r="D76" s="4" t="s">
        <v>2399</v>
      </c>
      <c r="E76" s="4" t="str">
        <f>'[2]rio results'!M76</f>
        <v>10.1002/admt.202201349</v>
      </c>
      <c r="F76" s="4">
        <v>24</v>
      </c>
    </row>
    <row r="77" spans="1:6" x14ac:dyDescent="0.45">
      <c r="A77" t="s">
        <v>2400</v>
      </c>
      <c r="B77" t="str">
        <f>_xlfn.REGEXREPLACE([2]query2!B77, "https://doi.org/","")</f>
        <v>10.1021/acs.jpcc.0c09527</v>
      </c>
      <c r="C77">
        <v>12</v>
      </c>
      <c r="D77" s="4" t="s">
        <v>2401</v>
      </c>
      <c r="E77" s="4" t="str">
        <f>'[2]rio results'!M77</f>
        <v>10.3389/fimmu.2022.1074740</v>
      </c>
      <c r="F77" s="4">
        <v>24</v>
      </c>
    </row>
    <row r="78" spans="1:6" x14ac:dyDescent="0.45">
      <c r="A78" t="s">
        <v>2402</v>
      </c>
      <c r="B78" t="str">
        <f>_xlfn.REGEXREPLACE([2]query2!B78, "https://doi.org/","")</f>
        <v>10.1002/celc.202200161</v>
      </c>
      <c r="C78">
        <v>12</v>
      </c>
      <c r="D78" s="4" t="s">
        <v>2353</v>
      </c>
      <c r="E78" s="4" t="str">
        <f>'[2]rio results'!M78</f>
        <v>10.1039/d1ce00962a</v>
      </c>
      <c r="F78" s="4">
        <v>24</v>
      </c>
    </row>
    <row r="79" spans="1:6" x14ac:dyDescent="0.45">
      <c r="A79" t="s">
        <v>2403</v>
      </c>
      <c r="B79" t="str">
        <f>_xlfn.REGEXREPLACE([2]query2!B79, "https://doi.org/","")</f>
        <v>10.1002/adfm.202305733</v>
      </c>
      <c r="C79">
        <v>11</v>
      </c>
      <c r="D79" s="4" t="s">
        <v>2404</v>
      </c>
      <c r="E79" s="4" t="str">
        <f>'[2]rio results'!M79</f>
        <v>10.1111/risa.13834</v>
      </c>
      <c r="F79" s="4">
        <v>23</v>
      </c>
    </row>
    <row r="80" spans="1:6" x14ac:dyDescent="0.45">
      <c r="A80" t="s">
        <v>2405</v>
      </c>
      <c r="B80" t="str">
        <f>_xlfn.REGEXREPLACE([2]query2!B80, "https://doi.org/","")</f>
        <v>10.1149/1945-7111/abc99e</v>
      </c>
      <c r="C80">
        <v>11</v>
      </c>
      <c r="D80" s="4" t="s">
        <v>2359</v>
      </c>
      <c r="E80" s="4" t="str">
        <f>'[2]rio results'!M80</f>
        <v>10.1016/j.jpowsour.2020.228714</v>
      </c>
      <c r="F80" s="4">
        <v>23</v>
      </c>
    </row>
    <row r="81" spans="1:6" x14ac:dyDescent="0.45">
      <c r="A81" t="s">
        <v>2406</v>
      </c>
      <c r="B81" t="str">
        <f>_xlfn.REGEXREPLACE([2]query2!B81, "https://doi.org/","")</f>
        <v>10.3390/ma17133306</v>
      </c>
      <c r="C81">
        <v>10</v>
      </c>
      <c r="D81" s="4" t="s">
        <v>2407</v>
      </c>
      <c r="E81" s="4" t="str">
        <f>'[2]rio results'!M81</f>
        <v>10.1021/acsnano.0c03466</v>
      </c>
      <c r="F81" s="4">
        <v>23</v>
      </c>
    </row>
    <row r="82" spans="1:6" x14ac:dyDescent="0.45">
      <c r="A82" t="s">
        <v>731</v>
      </c>
      <c r="B82" t="str">
        <f>_xlfn.REGEXREPLACE([2]query2!B82, "https://doi.org/","")</f>
        <v>10.1111/poms.13605</v>
      </c>
      <c r="C82">
        <v>10</v>
      </c>
      <c r="D82" s="4" t="s">
        <v>2408</v>
      </c>
      <c r="E82" s="4" t="str">
        <f>'[2]rio results'!M82</f>
        <v>10.1016/j.ecoenv.2023.115227</v>
      </c>
      <c r="F82" s="4">
        <v>22</v>
      </c>
    </row>
    <row r="83" spans="1:6" x14ac:dyDescent="0.45">
      <c r="A83" t="s">
        <v>2409</v>
      </c>
      <c r="B83" t="str">
        <f>_xlfn.REGEXREPLACE([2]query2!B83, "https://doi.org/","")</f>
        <v>10.1088/2058-8585/acb722</v>
      </c>
      <c r="C83">
        <v>9</v>
      </c>
      <c r="D83" s="4" t="s">
        <v>338</v>
      </c>
      <c r="E83" s="4" t="str">
        <f>'[2]rio results'!M83</f>
        <v>10.1016/j.energy.2021.123050</v>
      </c>
      <c r="F83" s="4">
        <v>22</v>
      </c>
    </row>
    <row r="84" spans="1:6" x14ac:dyDescent="0.45">
      <c r="A84" t="s">
        <v>2410</v>
      </c>
      <c r="B84" t="str">
        <f>_xlfn.REGEXREPLACE([2]query2!B84, "https://doi.org/","")</f>
        <v>10.1016/j.sna.2020.112045</v>
      </c>
      <c r="C84">
        <v>9</v>
      </c>
      <c r="D84" s="4" t="s">
        <v>2411</v>
      </c>
      <c r="E84" s="4" t="str">
        <f>'[2]rio results'!M84</f>
        <v>10.1145/3414685.3417772</v>
      </c>
      <c r="F84" s="4">
        <v>22</v>
      </c>
    </row>
    <row r="85" spans="1:6" x14ac:dyDescent="0.45">
      <c r="A85" t="s">
        <v>2412</v>
      </c>
      <c r="B85" t="str">
        <f>_xlfn.REGEXREPLACE([2]query2!B85, "https://doi.org/","")</f>
        <v>10.3390/nano13010018</v>
      </c>
      <c r="C85">
        <v>9</v>
      </c>
      <c r="D85" s="4" t="s">
        <v>2413</v>
      </c>
      <c r="E85" s="4" t="str">
        <f>'[2]rio results'!M85</f>
        <v>10.5210/FM.V25I9.10801</v>
      </c>
      <c r="F85" s="4">
        <v>22</v>
      </c>
    </row>
    <row r="86" spans="1:6" x14ac:dyDescent="0.45">
      <c r="A86" t="s">
        <v>2414</v>
      </c>
      <c r="B86" t="str">
        <f>_xlfn.REGEXREPLACE([2]query2!B86, "https://doi.org/","")</f>
        <v>10.1016/j.mtcomm.2024.109928</v>
      </c>
      <c r="C86">
        <v>8</v>
      </c>
      <c r="D86" s="4" t="s">
        <v>2367</v>
      </c>
      <c r="E86" s="4" t="str">
        <f>'[2]rio results'!M86</f>
        <v>10.1016/j.enggeo.2020.105693</v>
      </c>
      <c r="F86" s="4">
        <v>22</v>
      </c>
    </row>
    <row r="87" spans="1:6" x14ac:dyDescent="0.45">
      <c r="A87" t="s">
        <v>2415</v>
      </c>
      <c r="B87" t="str">
        <f>_xlfn.REGEXREPLACE([2]query2!B87, "https://doi.org/","")</f>
        <v>10.1016/j.jallcom.2024.174816</v>
      </c>
      <c r="C87">
        <v>7</v>
      </c>
      <c r="D87" s="4" t="s">
        <v>2416</v>
      </c>
      <c r="E87" s="4" t="str">
        <f>'[2]rio results'!M87</f>
        <v>10.1016/j.omtm.2020.01.009</v>
      </c>
      <c r="F87" s="4">
        <v>22</v>
      </c>
    </row>
    <row r="88" spans="1:6" x14ac:dyDescent="0.45">
      <c r="A88" t="s">
        <v>875</v>
      </c>
      <c r="B88" t="str">
        <f>_xlfn.REGEXREPLACE([2]query2!B88, "https://doi.org/","")</f>
        <v>10.1016/j.matdes.2024.113535</v>
      </c>
      <c r="C88">
        <v>7</v>
      </c>
      <c r="D88" s="4" t="s">
        <v>2417</v>
      </c>
      <c r="E88" s="4" t="str">
        <f>'[2]rio results'!M88</f>
        <v>10.1051/meca/2020068</v>
      </c>
      <c r="F88" s="4">
        <v>22</v>
      </c>
    </row>
    <row r="89" spans="1:6" x14ac:dyDescent="0.45">
      <c r="A89" t="s">
        <v>2418</v>
      </c>
      <c r="B89" t="str">
        <f>_xlfn.REGEXREPLACE([2]query2!B89, "https://doi.org/","")</f>
        <v>10.1039/d0nr08652e</v>
      </c>
      <c r="C89">
        <v>7</v>
      </c>
      <c r="D89" s="4" t="s">
        <v>2419</v>
      </c>
      <c r="E89" s="4" t="str">
        <f>'[2]rio results'!M89</f>
        <v>10.1021/acsestwater.3c00275</v>
      </c>
      <c r="F89" s="4">
        <v>21</v>
      </c>
    </row>
    <row r="90" spans="1:6" x14ac:dyDescent="0.45">
      <c r="A90" t="s">
        <v>2420</v>
      </c>
      <c r="B90" t="str">
        <f>_xlfn.REGEXREPLACE([2]query2!B90, "https://doi.org/","")</f>
        <v>10.1021/acsami.0c00724</v>
      </c>
      <c r="C90">
        <v>7</v>
      </c>
      <c r="D90" s="4" t="s">
        <v>2421</v>
      </c>
      <c r="E90" s="4" t="str">
        <f>'[2]rio results'!M90</f>
        <v>10.1002/er.6974</v>
      </c>
      <c r="F90" s="4">
        <v>21</v>
      </c>
    </row>
    <row r="91" spans="1:6" x14ac:dyDescent="0.45">
      <c r="A91" t="s">
        <v>2422</v>
      </c>
      <c r="B91" t="str">
        <f>_xlfn.REGEXREPLACE([2]query2!B91, "https://doi.org/","")</f>
        <v>10.1134/s1063776120070080</v>
      </c>
      <c r="C91">
        <v>7</v>
      </c>
      <c r="D91" s="4" t="s">
        <v>2360</v>
      </c>
      <c r="E91" s="4" t="str">
        <f>'[2]rio results'!M91</f>
        <v>10.1364/OE.417724</v>
      </c>
      <c r="F91" s="4">
        <v>21</v>
      </c>
    </row>
    <row r="92" spans="1:6" x14ac:dyDescent="0.45">
      <c r="A92" t="s">
        <v>2423</v>
      </c>
      <c r="B92" t="str">
        <f>_xlfn.REGEXREPLACE([2]query2!B92, "https://doi.org/","")</f>
        <v>10.1021/acs.macromol.1c01613</v>
      </c>
      <c r="C92">
        <v>7</v>
      </c>
      <c r="D92" s="4" t="s">
        <v>2355</v>
      </c>
      <c r="E92" s="4" t="str">
        <f>'[2]rio results'!M92</f>
        <v>10.1038/s41528-024-00309-z</v>
      </c>
      <c r="F92" s="4">
        <v>20</v>
      </c>
    </row>
    <row r="93" spans="1:6" x14ac:dyDescent="0.45">
      <c r="A93" t="s">
        <v>2424</v>
      </c>
      <c r="B93" t="str">
        <f>_xlfn.REGEXREPLACE([2]query2!B93, "https://doi.org/","")</f>
        <v>10.1016/j.tsf.2020.138206</v>
      </c>
      <c r="C93">
        <v>6</v>
      </c>
      <c r="D93" s="4" t="s">
        <v>2351</v>
      </c>
      <c r="E93" s="4" t="str">
        <f>'[2]rio results'!M93</f>
        <v>10.1063/5.0244878</v>
      </c>
      <c r="F93" s="4">
        <v>20</v>
      </c>
    </row>
    <row r="94" spans="1:6" x14ac:dyDescent="0.45">
      <c r="A94" t="s">
        <v>2425</v>
      </c>
      <c r="B94" t="str">
        <f>_xlfn.REGEXREPLACE([2]query2!B94, "https://doi.org/","")</f>
        <v>10.1063/5.0106934</v>
      </c>
      <c r="C94">
        <v>6</v>
      </c>
      <c r="D94" s="4" t="s">
        <v>2374</v>
      </c>
      <c r="E94" s="4" t="str">
        <f>'[2]rio results'!M94</f>
        <v>10.3390/s24082585</v>
      </c>
      <c r="F94" s="4">
        <v>20</v>
      </c>
    </row>
    <row r="95" spans="1:6" x14ac:dyDescent="0.45">
      <c r="A95" t="s">
        <v>2426</v>
      </c>
      <c r="B95" t="str">
        <f>_xlfn.REGEXREPLACE([2]query2!B95, "https://doi.org/","")</f>
        <v>10.1098/rsos.210141</v>
      </c>
      <c r="C95">
        <v>6</v>
      </c>
      <c r="D95" s="4" t="s">
        <v>2427</v>
      </c>
      <c r="E95" s="4" t="str">
        <f>'[2]rio results'!M95</f>
        <v>10.3390/su15054250</v>
      </c>
      <c r="F95" s="4">
        <v>20</v>
      </c>
    </row>
    <row r="96" spans="1:6" x14ac:dyDescent="0.45">
      <c r="A96" t="s">
        <v>1333</v>
      </c>
      <c r="B96" t="str">
        <f>_xlfn.REGEXREPLACE([2]query2!B96, "https://doi.org/","")</f>
        <v>10.1115/1.4055149</v>
      </c>
      <c r="C96">
        <v>6</v>
      </c>
      <c r="D96" s="4" t="s">
        <v>2368</v>
      </c>
      <c r="E96" s="4" t="str">
        <f>'[2]rio results'!M96</f>
        <v>10.1021/acs.chemmater.1c03450</v>
      </c>
      <c r="F96" s="4">
        <v>20</v>
      </c>
    </row>
    <row r="97" spans="1:6" x14ac:dyDescent="0.45">
      <c r="A97" t="s">
        <v>2428</v>
      </c>
      <c r="B97" t="str">
        <f>_xlfn.REGEXREPLACE([2]query2!B97, "https://doi.org/","")</f>
        <v>10.1063/5.0175532</v>
      </c>
      <c r="C97">
        <v>6</v>
      </c>
      <c r="D97" s="4" t="s">
        <v>2429</v>
      </c>
      <c r="E97" s="4" t="str">
        <f>'[2]rio results'!M97</f>
        <v>10.1016/j.trd.2021.102789</v>
      </c>
      <c r="F97" s="4">
        <v>20</v>
      </c>
    </row>
    <row r="98" spans="1:6" x14ac:dyDescent="0.45">
      <c r="A98" t="s">
        <v>2430</v>
      </c>
      <c r="B98" t="str">
        <f>_xlfn.REGEXREPLACE([2]query2!B98, "https://doi.org/","")</f>
        <v>10.1016/j.jasrep.2022.103800</v>
      </c>
      <c r="C98">
        <v>6</v>
      </c>
      <c r="D98" s="4" t="s">
        <v>2431</v>
      </c>
      <c r="E98" s="4" t="str">
        <f>'[2]rio results'!M98</f>
        <v>10.1016/j.drugalcdep.2020.108420</v>
      </c>
      <c r="F98" s="4">
        <v>20</v>
      </c>
    </row>
    <row r="99" spans="1:6" x14ac:dyDescent="0.45">
      <c r="A99" t="s">
        <v>2432</v>
      </c>
      <c r="B99" t="str">
        <f>_xlfn.REGEXREPLACE([2]query2!B99, "https://doi.org/","")</f>
        <v>10.3390/cryst10121109</v>
      </c>
      <c r="C99">
        <v>6</v>
      </c>
      <c r="D99" s="4" t="s">
        <v>2433</v>
      </c>
      <c r="E99" s="4" t="str">
        <f>'[2]rio results'!M99</f>
        <v>10.1039/c9mh01782h</v>
      </c>
      <c r="F99" s="4">
        <v>20</v>
      </c>
    </row>
    <row r="100" spans="1:6" x14ac:dyDescent="0.45">
      <c r="A100" t="s">
        <v>2434</v>
      </c>
      <c r="B100" t="str">
        <f>_xlfn.REGEXREPLACE([2]query2!B100, "https://doi.org/","")</f>
        <v>10.1016/j.ijheatmasstransfer.2021.122098</v>
      </c>
      <c r="C100">
        <v>6</v>
      </c>
      <c r="D100" s="4" t="s">
        <v>2435</v>
      </c>
      <c r="E100" s="4" t="str">
        <f>'[2]rio results'!M100</f>
        <v>10.1016/j.jhazmat.2019.121644</v>
      </c>
      <c r="F100" s="4">
        <v>20</v>
      </c>
    </row>
    <row r="101" spans="1:6" x14ac:dyDescent="0.45">
      <c r="A101" t="s">
        <v>2436</v>
      </c>
      <c r="B101" t="str">
        <f>_xlfn.REGEXREPLACE([2]query2!B101, "https://doi.org/","")</f>
        <v>10.1145/3544548.3581024</v>
      </c>
      <c r="C101">
        <v>5</v>
      </c>
      <c r="D101" s="4" t="s">
        <v>2373</v>
      </c>
      <c r="E101" s="4" t="str">
        <f>'[2]rio results'!M101</f>
        <v>10.1021/acsaem.9b01754</v>
      </c>
      <c r="F101" s="4">
        <v>20</v>
      </c>
    </row>
    <row r="102" spans="1:6" x14ac:dyDescent="0.45">
      <c r="A102" t="s">
        <v>2437</v>
      </c>
      <c r="B102" t="str">
        <f>_xlfn.REGEXREPLACE([2]query2!B102, "https://doi.org/","")</f>
        <v>10.1039/d1ma00847a</v>
      </c>
      <c r="C102">
        <v>5</v>
      </c>
      <c r="D102" s="4" t="s">
        <v>2357</v>
      </c>
      <c r="E102" s="4" t="str">
        <f>'[2]rio results'!M102</f>
        <v>10.1016/j.ijhydene.2024.11.288</v>
      </c>
      <c r="F102" s="4">
        <v>19</v>
      </c>
    </row>
    <row r="103" spans="1:6" x14ac:dyDescent="0.45">
      <c r="A103" t="s">
        <v>2438</v>
      </c>
      <c r="B103" t="str">
        <f>_xlfn.REGEXREPLACE([2]query2!B103, "https://doi.org/","")</f>
        <v>10.1137/22m1506985</v>
      </c>
      <c r="C103">
        <v>5</v>
      </c>
      <c r="D103" s="4" t="s">
        <v>530</v>
      </c>
      <c r="E103" s="4" t="str">
        <f>'[2]rio results'!M103</f>
        <v>10.1002/adma.202108493</v>
      </c>
      <c r="F103" s="4">
        <v>19</v>
      </c>
    </row>
    <row r="104" spans="1:6" x14ac:dyDescent="0.45">
      <c r="A104" t="s">
        <v>2439</v>
      </c>
      <c r="B104" t="str">
        <f>_xlfn.REGEXREPLACE([2]query2!B104, "https://doi.org/","")</f>
        <v>10.1080/00207721.2024.2408526</v>
      </c>
      <c r="C104">
        <v>5</v>
      </c>
      <c r="D104" s="4" t="s">
        <v>2371</v>
      </c>
      <c r="E104" s="4" t="str">
        <f>'[2]rio results'!M104</f>
        <v>10.1016/j.snb.2021.129527</v>
      </c>
      <c r="F104" s="4">
        <v>19</v>
      </c>
    </row>
    <row r="105" spans="1:6" x14ac:dyDescent="0.45">
      <c r="A105" t="s">
        <v>2440</v>
      </c>
      <c r="B105" t="str">
        <f>_xlfn.REGEXREPLACE([2]query2!B105, "https://doi.org/","")</f>
        <v>10.1038/s41467-024-51024-2</v>
      </c>
      <c r="C105">
        <v>5</v>
      </c>
      <c r="D105" s="4" t="s">
        <v>2441</v>
      </c>
      <c r="E105" s="4" t="str">
        <f>'[2]rio results'!M105</f>
        <v>10.1063/5.0020661</v>
      </c>
      <c r="F105" s="4">
        <v>19</v>
      </c>
    </row>
    <row r="106" spans="1:6" x14ac:dyDescent="0.45">
      <c r="A106" t="s">
        <v>1060</v>
      </c>
      <c r="B106" t="str">
        <f>_xlfn.REGEXREPLACE([2]query2!B106, "https://doi.org/","")</f>
        <v>10.1103/physrevresearch.6.033055</v>
      </c>
      <c r="C106">
        <v>5</v>
      </c>
      <c r="D106" s="4" t="s">
        <v>2442</v>
      </c>
      <c r="E106" s="4" t="str">
        <f>'[2]rio results'!M106</f>
        <v>10.1039/d3se00277b</v>
      </c>
      <c r="F106" s="4">
        <v>18</v>
      </c>
    </row>
    <row r="107" spans="1:6" x14ac:dyDescent="0.45">
      <c r="A107" t="s">
        <v>1048</v>
      </c>
      <c r="B107" t="str">
        <f>_xlfn.REGEXREPLACE([2]query2!B107, "https://doi.org/","")</f>
        <v>10.1016/j.sna.2023.114728</v>
      </c>
      <c r="C107">
        <v>5</v>
      </c>
      <c r="D107" s="4" t="s">
        <v>2443</v>
      </c>
      <c r="E107" s="4" t="str">
        <f>'[2]rio results'!M107</f>
        <v>10.1002/adom.202000664</v>
      </c>
      <c r="F107" s="4">
        <v>18</v>
      </c>
    </row>
    <row r="108" spans="1:6" x14ac:dyDescent="0.45">
      <c r="A108" t="s">
        <v>2444</v>
      </c>
      <c r="B108" t="str">
        <f>_xlfn.REGEXREPLACE([2]query2!B108, "https://doi.org/","")</f>
        <v>10.1016/j.matchemphys.2022.126272</v>
      </c>
      <c r="C108">
        <v>5</v>
      </c>
      <c r="D108" s="4" t="s">
        <v>2445</v>
      </c>
      <c r="E108" s="4" t="str">
        <f>'[2]rio results'!M108</f>
        <v>10.1021/acsaem.0c00069</v>
      </c>
      <c r="F108" s="4">
        <v>18</v>
      </c>
    </row>
    <row r="109" spans="1:6" x14ac:dyDescent="0.45">
      <c r="A109" t="s">
        <v>2446</v>
      </c>
      <c r="B109" t="str">
        <f>_xlfn.REGEXREPLACE([2]query2!B109, "https://doi.org/","")</f>
        <v>10.1016/b978-0-08-102795-0.00003-7</v>
      </c>
      <c r="C109">
        <v>5</v>
      </c>
      <c r="D109" s="4" t="s">
        <v>585</v>
      </c>
      <c r="E109" s="4" t="str">
        <f>'[2]rio results'!M109</f>
        <v>10.1088/1361-6528/ab72b6</v>
      </c>
      <c r="F109" s="4">
        <v>18</v>
      </c>
    </row>
    <row r="110" spans="1:6" x14ac:dyDescent="0.45">
      <c r="A110" t="s">
        <v>2447</v>
      </c>
      <c r="B110" t="str">
        <f>_xlfn.REGEXREPLACE([2]query2!B110, "https://doi.org/","")</f>
        <v>10.1177/0169796x221107217</v>
      </c>
      <c r="C110">
        <v>5</v>
      </c>
      <c r="D110" s="4" t="s">
        <v>2448</v>
      </c>
      <c r="E110" s="4" t="str">
        <f>'[2]rio results'!M110</f>
        <v>10.1016/j.jpowsour.2019.227359</v>
      </c>
      <c r="F110" s="4">
        <v>18</v>
      </c>
    </row>
    <row r="111" spans="1:6" x14ac:dyDescent="0.45">
      <c r="A111" t="s">
        <v>1043</v>
      </c>
      <c r="B111" t="str">
        <f>_xlfn.REGEXREPLACE([2]query2!B111, "https://doi.org/","")</f>
        <v>10.1103/physrevb.103.054201</v>
      </c>
      <c r="C111">
        <v>5</v>
      </c>
      <c r="D111" s="4" t="s">
        <v>2449</v>
      </c>
      <c r="E111" s="4" t="str">
        <f>'[2]rio results'!M111</f>
        <v>10.1016/j.jpowsour.2023.233565</v>
      </c>
      <c r="F111" s="4">
        <v>17</v>
      </c>
    </row>
    <row r="112" spans="1:6" x14ac:dyDescent="0.45">
      <c r="A112" t="s">
        <v>2450</v>
      </c>
      <c r="B112" t="str">
        <f>_xlfn.REGEXREPLACE([2]query2!B112, "https://doi.org/","")</f>
        <v>10.1016/j.actbio.2024.10.029</v>
      </c>
      <c r="C112">
        <v>5</v>
      </c>
      <c r="D112" s="4" t="s">
        <v>2382</v>
      </c>
      <c r="E112" s="4" t="str">
        <f>'[2]rio results'!M112</f>
        <v>10.1016/j.matdes.2023.112332</v>
      </c>
      <c r="F112" s="4">
        <v>17</v>
      </c>
    </row>
    <row r="113" spans="1:6" x14ac:dyDescent="0.45">
      <c r="A113" t="s">
        <v>2451</v>
      </c>
      <c r="B113" t="str">
        <f>_xlfn.REGEXREPLACE([2]query2!B113, "https://doi.org/","")</f>
        <v>10.1021/acsaem.2c01548</v>
      </c>
      <c r="C113">
        <v>5</v>
      </c>
      <c r="D113" s="4" t="s">
        <v>2364</v>
      </c>
      <c r="E113" s="4" t="str">
        <f>'[2]rio results'!M113</f>
        <v>10.1016/B978-0-12-823144-9.00069-8</v>
      </c>
      <c r="F113" s="4">
        <v>17</v>
      </c>
    </row>
    <row r="114" spans="1:6" x14ac:dyDescent="0.45">
      <c r="A114" t="s">
        <v>2452</v>
      </c>
      <c r="B114" t="str">
        <f>_xlfn.REGEXREPLACE([2]query2!B114, "https://doi.org/","")</f>
        <v>10.1016/j.aquatox.2023.106640</v>
      </c>
      <c r="C114">
        <v>5</v>
      </c>
      <c r="D114" s="4" t="s">
        <v>2453</v>
      </c>
      <c r="E114" s="4" t="str">
        <f>'[2]rio results'!M114</f>
        <v>10.1017/9781108878142</v>
      </c>
      <c r="F114" s="4">
        <v>17</v>
      </c>
    </row>
    <row r="115" spans="1:6" x14ac:dyDescent="0.45">
      <c r="A115" t="s">
        <v>2384</v>
      </c>
      <c r="B115" t="str">
        <f>_xlfn.REGEXREPLACE([2]query2!B115, "https://doi.org/","")</f>
        <v>10.1101/2020.02.24.963421</v>
      </c>
      <c r="C115">
        <v>5</v>
      </c>
      <c r="D115" s="4" t="s">
        <v>2454</v>
      </c>
      <c r="E115" s="4" t="str">
        <f>'[2]rio results'!M115</f>
        <v>10.3389/fimmu.2022.917790</v>
      </c>
      <c r="F115" s="4">
        <v>17</v>
      </c>
    </row>
    <row r="116" spans="1:6" x14ac:dyDescent="0.45">
      <c r="A116" t="s">
        <v>2455</v>
      </c>
      <c r="B116" t="str">
        <f>_xlfn.REGEXREPLACE([2]query2!B116, "https://doi.org/","")</f>
        <v>10.1002/aisy.202300015</v>
      </c>
      <c r="C116">
        <v>4</v>
      </c>
      <c r="D116" s="4" t="s">
        <v>2456</v>
      </c>
      <c r="E116" s="4" t="str">
        <f>'[2]rio results'!M116</f>
        <v>10.1039/d1ra04480j</v>
      </c>
      <c r="F116" s="4">
        <v>17</v>
      </c>
    </row>
    <row r="117" spans="1:6" x14ac:dyDescent="0.45">
      <c r="A117" t="s">
        <v>2457</v>
      </c>
      <c r="B117" t="str">
        <f>_xlfn.REGEXREPLACE([2]query2!B117, "https://doi.org/","")</f>
        <v>10.1109/wifs53200.2021.9648379</v>
      </c>
      <c r="C117">
        <v>4</v>
      </c>
      <c r="D117" s="4" t="s">
        <v>2458</v>
      </c>
      <c r="E117" s="4" t="str">
        <f>'[2]rio results'!M117</f>
        <v>10.1016/B978-0-12-823708-3.00002-X</v>
      </c>
      <c r="F117" s="4">
        <v>17</v>
      </c>
    </row>
    <row r="118" spans="1:6" x14ac:dyDescent="0.45">
      <c r="A118" t="s">
        <v>2459</v>
      </c>
      <c r="B118" t="str">
        <f>_xlfn.REGEXREPLACE([2]query2!B118, "https://doi.org/","")</f>
        <v>10.1103/physrevlett.131.049701</v>
      </c>
      <c r="C118">
        <v>4</v>
      </c>
      <c r="D118" s="4" t="s">
        <v>2384</v>
      </c>
      <c r="E118" s="4" t="str">
        <f>'[2]rio results'!M118</f>
        <v>10.1111/1365-2435.13621</v>
      </c>
      <c r="F118" s="4">
        <v>17</v>
      </c>
    </row>
    <row r="119" spans="1:6" x14ac:dyDescent="0.45">
      <c r="A119" t="s">
        <v>2460</v>
      </c>
      <c r="B119" t="str">
        <f>_xlfn.REGEXREPLACE([2]query2!B119, "https://doi.org/","")</f>
        <v>10.1016/b978-0-12-818475-2.00002-7</v>
      </c>
      <c r="C119">
        <v>4</v>
      </c>
      <c r="D119" s="4" t="s">
        <v>432</v>
      </c>
      <c r="E119" s="4" t="str">
        <f>'[2]rio results'!M119</f>
        <v>10.1016/j.ijfatigue.2020.105697</v>
      </c>
      <c r="F119" s="4">
        <v>17</v>
      </c>
    </row>
    <row r="120" spans="1:6" x14ac:dyDescent="0.45">
      <c r="A120" t="s">
        <v>2461</v>
      </c>
      <c r="B120" t="str">
        <f>_xlfn.REGEXREPLACE([2]query2!B120, "https://doi.org/","")</f>
        <v>10.1016/j.nanoen.2021.106280</v>
      </c>
      <c r="C120">
        <v>4</v>
      </c>
      <c r="D120" s="4" t="s">
        <v>2462</v>
      </c>
      <c r="E120" s="4" t="str">
        <f>'[2]rio results'!M120</f>
        <v>10.1002/cncr.32455</v>
      </c>
      <c r="F120" s="4">
        <v>17</v>
      </c>
    </row>
    <row r="121" spans="1:6" x14ac:dyDescent="0.45">
      <c r="A121" t="s">
        <v>2463</v>
      </c>
      <c r="B121" t="str">
        <f>_xlfn.REGEXREPLACE([2]query2!B121, "https://doi.org/","")</f>
        <v>10.1007/s13233-024-00261-x</v>
      </c>
      <c r="C121">
        <v>4</v>
      </c>
      <c r="D121" s="4" t="s">
        <v>2464</v>
      </c>
      <c r="E121" s="4" t="str">
        <f>'[2]rio results'!M121</f>
        <v>10.3389/fimmu.2021.732298</v>
      </c>
      <c r="F121" s="4">
        <v>16</v>
      </c>
    </row>
    <row r="122" spans="1:6" x14ac:dyDescent="0.45">
      <c r="A122" t="s">
        <v>2465</v>
      </c>
      <c r="B122" t="str">
        <f>_xlfn.REGEXREPLACE([2]query2!B122, "https://doi.org/","")</f>
        <v>10.1002/batt.202300367</v>
      </c>
      <c r="C122">
        <v>4</v>
      </c>
      <c r="D122" s="4" t="s">
        <v>2466</v>
      </c>
      <c r="E122" s="4" t="str">
        <f>'[2]rio results'!M122</f>
        <v>10.1002/adfm.202313793</v>
      </c>
      <c r="F122" s="4">
        <v>15</v>
      </c>
    </row>
    <row r="123" spans="1:6" x14ac:dyDescent="0.45">
      <c r="A123" t="s">
        <v>1124</v>
      </c>
      <c r="B123" t="str">
        <f>_xlfn.REGEXREPLACE([2]query2!B123, "https://doi.org/","")</f>
        <v>10.1002/aisy.202100003</v>
      </c>
      <c r="C123">
        <v>4</v>
      </c>
      <c r="D123" s="4" t="s">
        <v>2362</v>
      </c>
      <c r="E123" s="4" t="str">
        <f>'[2]rio results'!M123</f>
        <v>10.1016/j.jmapro.2024.01.029</v>
      </c>
      <c r="F123" s="4">
        <v>15</v>
      </c>
    </row>
    <row r="124" spans="1:6" x14ac:dyDescent="0.45">
      <c r="A124" t="s">
        <v>2467</v>
      </c>
      <c r="B124" t="str">
        <f>_xlfn.REGEXREPLACE([2]query2!B124, "https://doi.org/","")</f>
        <v>10.1088/1748-0221/17/11/c11002</v>
      </c>
      <c r="C124">
        <v>4</v>
      </c>
      <c r="D124" s="4" t="s">
        <v>2468</v>
      </c>
      <c r="E124" s="4" t="str">
        <f>'[2]rio results'!M124</f>
        <v>10.1039/d3su00335c</v>
      </c>
      <c r="F124" s="4">
        <v>15</v>
      </c>
    </row>
    <row r="125" spans="1:6" x14ac:dyDescent="0.45">
      <c r="A125" t="s">
        <v>2469</v>
      </c>
      <c r="B125" t="str">
        <f>_xlfn.REGEXREPLACE([2]query2!B125, "https://doi.org/","")</f>
        <v>10.1016/j.jallcom.2024.176341</v>
      </c>
      <c r="C125">
        <v>4</v>
      </c>
      <c r="D125" s="4" t="s">
        <v>2470</v>
      </c>
      <c r="E125" s="4" t="str">
        <f>'[2]rio results'!M125</f>
        <v>10.3390/s21175947</v>
      </c>
      <c r="F125" s="4">
        <v>15</v>
      </c>
    </row>
    <row r="126" spans="1:6" x14ac:dyDescent="0.45">
      <c r="A126" t="s">
        <v>2471</v>
      </c>
      <c r="B126" t="str">
        <f>_xlfn.REGEXREPLACE([2]query2!B126, "https://doi.org/","")</f>
        <v>10.1021/acsami.4c01045</v>
      </c>
      <c r="C126">
        <v>3</v>
      </c>
      <c r="D126" s="4" t="s">
        <v>2472</v>
      </c>
      <c r="E126" s="4" t="str">
        <f>'[2]rio results'!M126</f>
        <v>10.3389/fmats.2021.639823</v>
      </c>
      <c r="F126" s="4">
        <v>15</v>
      </c>
    </row>
    <row r="127" spans="1:6" x14ac:dyDescent="0.45">
      <c r="A127" t="s">
        <v>2473</v>
      </c>
      <c r="B127" t="str">
        <f>_xlfn.REGEXREPLACE([2]query2!B127, "https://doi.org/","")</f>
        <v>10.1016/j.enconman.2024.118780</v>
      </c>
      <c r="C127">
        <v>3</v>
      </c>
      <c r="D127" s="4" t="s">
        <v>707</v>
      </c>
      <c r="E127" s="4" t="str">
        <f>'[2]rio results'!M127</f>
        <v>10.3390/s21010225</v>
      </c>
      <c r="F127" s="4">
        <v>15</v>
      </c>
    </row>
    <row r="128" spans="1:6" x14ac:dyDescent="0.45">
      <c r="A128" t="s">
        <v>2474</v>
      </c>
      <c r="B128" t="str">
        <f>_xlfn.REGEXREPLACE([2]query2!B128, "https://doi.org/","")</f>
        <v>10.1007/s10924-024-03300-x</v>
      </c>
      <c r="C128">
        <v>3</v>
      </c>
      <c r="D128" s="4" t="s">
        <v>2475</v>
      </c>
      <c r="E128" s="4" t="str">
        <f>'[2]rio results'!M128</f>
        <v>10.1016/j.quaint.2019.05.003</v>
      </c>
      <c r="F128" s="4">
        <v>15</v>
      </c>
    </row>
    <row r="129" spans="1:6" x14ac:dyDescent="0.45">
      <c r="A129" t="s">
        <v>1238</v>
      </c>
      <c r="B129" t="str">
        <f>_xlfn.REGEXREPLACE([2]query2!B129, "https://doi.org/","")</f>
        <v>10.1002/adma.202170148</v>
      </c>
      <c r="C129">
        <v>3</v>
      </c>
      <c r="D129" s="4" t="s">
        <v>2476</v>
      </c>
      <c r="E129" s="4" t="str">
        <f>'[2]rio results'!M129</f>
        <v>10.1080/00952990.2020.1771721</v>
      </c>
      <c r="F129" s="4">
        <v>15</v>
      </c>
    </row>
    <row r="130" spans="1:6" x14ac:dyDescent="0.45">
      <c r="A130" t="s">
        <v>1264</v>
      </c>
      <c r="B130" t="str">
        <f>_xlfn.REGEXREPLACE([2]query2!B130, "https://doi.org/","")</f>
        <v>10.1103/physrevb.109.224421</v>
      </c>
      <c r="C130">
        <v>3</v>
      </c>
      <c r="D130" s="4" t="s">
        <v>2477</v>
      </c>
      <c r="E130" s="4" t="str">
        <f>'[2]rio results'!M130</f>
        <v>10.1016/S2542-5196(24)00244-4</v>
      </c>
      <c r="F130" s="4">
        <v>14</v>
      </c>
    </row>
    <row r="131" spans="1:6" x14ac:dyDescent="0.45">
      <c r="A131" t="s">
        <v>2478</v>
      </c>
      <c r="B131" t="str">
        <f>_xlfn.REGEXREPLACE([2]query2!B131, "https://doi.org/","")</f>
        <v>10.1016/j.ceramint.2024.02.223</v>
      </c>
      <c r="C131">
        <v>3</v>
      </c>
      <c r="D131" s="4" t="s">
        <v>722</v>
      </c>
      <c r="E131" s="4" t="str">
        <f>'[2]rio results'!M131</f>
        <v>10.1039/d4ey00104d</v>
      </c>
      <c r="F131" s="4">
        <v>14</v>
      </c>
    </row>
    <row r="132" spans="1:6" x14ac:dyDescent="0.45">
      <c r="A132" t="s">
        <v>1301</v>
      </c>
      <c r="B132" t="str">
        <f>_xlfn.REGEXREPLACE([2]query2!B132, "https://doi.org/","")</f>
        <v>10.1111/rssc.12572</v>
      </c>
      <c r="C132">
        <v>3</v>
      </c>
      <c r="D132" s="4" t="s">
        <v>2479</v>
      </c>
      <c r="E132" s="4" t="str">
        <f>'[2]rio results'!M132</f>
        <v>10.1177/14680874221082636</v>
      </c>
      <c r="F132" s="4">
        <v>14</v>
      </c>
    </row>
    <row r="133" spans="1:6" x14ac:dyDescent="0.45">
      <c r="A133" t="s">
        <v>2480</v>
      </c>
      <c r="B133" t="str">
        <f>_xlfn.REGEXREPLACE([2]query2!B133, "https://doi.org/","")</f>
        <v>10.1080/00207543.2020.1735656</v>
      </c>
      <c r="C133">
        <v>3</v>
      </c>
      <c r="D133" s="4" t="s">
        <v>2481</v>
      </c>
      <c r="E133" s="4" t="str">
        <f>'[2]rio results'!M133</f>
        <v>10.1007/s12520-022-01676-2</v>
      </c>
      <c r="F133" s="4">
        <v>14</v>
      </c>
    </row>
    <row r="134" spans="1:6" x14ac:dyDescent="0.45">
      <c r="A134" t="s">
        <v>2406</v>
      </c>
      <c r="B134" t="str">
        <f>_xlfn.REGEXREPLACE([2]query2!B134, "https://doi.org/","")</f>
        <v>10.20944/preprints202406.0404.v1</v>
      </c>
      <c r="C134">
        <v>3</v>
      </c>
      <c r="D134" s="4" t="s">
        <v>2482</v>
      </c>
      <c r="E134" s="4" t="str">
        <f>'[2]rio results'!M134</f>
        <v>10.1002/adom.202200862</v>
      </c>
      <c r="F134" s="4">
        <v>14</v>
      </c>
    </row>
    <row r="135" spans="1:6" x14ac:dyDescent="0.45">
      <c r="A135" t="s">
        <v>2483</v>
      </c>
      <c r="B135" t="str">
        <f>_xlfn.REGEXREPLACE([2]query2!B135, "https://doi.org/","")</f>
        <v>10.1111/sjtg.12539</v>
      </c>
      <c r="C135">
        <v>3</v>
      </c>
      <c r="D135" s="4" t="s">
        <v>2484</v>
      </c>
      <c r="E135" s="4" t="str">
        <f>'[2]rio results'!M135</f>
        <v>10.1063/5.0081185</v>
      </c>
      <c r="F135" s="4">
        <v>14</v>
      </c>
    </row>
    <row r="136" spans="1:6" x14ac:dyDescent="0.45">
      <c r="A136" t="s">
        <v>2485</v>
      </c>
      <c r="B136" t="str">
        <f>_xlfn.REGEXREPLACE([2]query2!B136, "https://doi.org/","")</f>
        <v>10.1109/fleps57599.2023.10220223</v>
      </c>
      <c r="C136">
        <v>2</v>
      </c>
      <c r="D136" s="4" t="s">
        <v>2486</v>
      </c>
      <c r="E136" s="4" t="str">
        <f>'[2]rio results'!M136</f>
        <v>10.1111/dar.13261</v>
      </c>
      <c r="F136" s="4">
        <v>14</v>
      </c>
    </row>
    <row r="137" spans="1:6" x14ac:dyDescent="0.45">
      <c r="A137" t="s">
        <v>2487</v>
      </c>
      <c r="B137" t="str">
        <f>_xlfn.REGEXREPLACE([2]query2!B137, "https://doi.org/","")</f>
        <v>10.1115/detc2024-142944</v>
      </c>
      <c r="C137">
        <v>2</v>
      </c>
      <c r="D137" s="4" t="s">
        <v>2488</v>
      </c>
      <c r="E137" s="4" t="str">
        <f>'[2]rio results'!M137</f>
        <v>10.1021/acs.langmuir.0c02868</v>
      </c>
      <c r="F137" s="4">
        <v>14</v>
      </c>
    </row>
    <row r="138" spans="1:6" x14ac:dyDescent="0.45">
      <c r="A138" t="s">
        <v>2489</v>
      </c>
      <c r="B138" t="str">
        <f>_xlfn.REGEXREPLACE([2]query2!B138, "https://doi.org/","")</f>
        <v>10.1088/1361-6528/ad0410</v>
      </c>
      <c r="C138">
        <v>2</v>
      </c>
      <c r="D138" s="4" t="s">
        <v>2490</v>
      </c>
      <c r="E138" s="4" t="str">
        <f>'[2]rio results'!M138</f>
        <v>10.1002/adfm.202305733</v>
      </c>
      <c r="F138" s="4">
        <v>13</v>
      </c>
    </row>
    <row r="139" spans="1:6" x14ac:dyDescent="0.45">
      <c r="A139" t="s">
        <v>2491</v>
      </c>
      <c r="B139" t="str">
        <f>_xlfn.REGEXREPLACE([2]query2!B139, "https://doi.org/","")</f>
        <v>10.1021/acs.chas.3c00072</v>
      </c>
      <c r="C139">
        <v>2</v>
      </c>
      <c r="D139" s="4" t="s">
        <v>2396</v>
      </c>
      <c r="E139" s="4" t="str">
        <f>'[2]rio results'!M139</f>
        <v>10.1177/0169796X221104856</v>
      </c>
      <c r="F139" s="4">
        <v>13</v>
      </c>
    </row>
    <row r="140" spans="1:6" x14ac:dyDescent="0.45">
      <c r="A140" t="s">
        <v>2492</v>
      </c>
      <c r="B140" t="str">
        <f>_xlfn.REGEXREPLACE([2]query2!B140, "https://doi.org/","")</f>
        <v>10.1103/physrevapplied.22.024058</v>
      </c>
      <c r="C140">
        <v>2</v>
      </c>
      <c r="D140" s="4" t="s">
        <v>2493</v>
      </c>
      <c r="E140" s="4" t="str">
        <f>'[2]rio results'!M140</f>
        <v>10.1016/j.drugpo.2020.102864</v>
      </c>
      <c r="F140" s="4">
        <v>13</v>
      </c>
    </row>
    <row r="141" spans="1:6" x14ac:dyDescent="0.45">
      <c r="A141" t="s">
        <v>1414</v>
      </c>
      <c r="B141" t="str">
        <f>_xlfn.REGEXREPLACE([2]query2!B141, "https://doi.org/","")</f>
        <v>10.1109/jflex.2023.3237991</v>
      </c>
      <c r="C141">
        <v>2</v>
      </c>
      <c r="D141" s="4" t="s">
        <v>2494</v>
      </c>
      <c r="E141" s="4" t="str">
        <f>'[2]rio results'!M141</f>
        <v>10.1039/c9tc06454k</v>
      </c>
      <c r="F141" s="4">
        <v>13</v>
      </c>
    </row>
    <row r="142" spans="1:6" x14ac:dyDescent="0.45">
      <c r="A142" t="s">
        <v>2495</v>
      </c>
      <c r="B142" t="str">
        <f>_xlfn.REGEXREPLACE([2]query2!B142, "https://doi.org/","")</f>
        <v>10.3390/bioengineering10030326</v>
      </c>
      <c r="C142">
        <v>2</v>
      </c>
      <c r="D142" s="4" t="s">
        <v>2406</v>
      </c>
      <c r="E142" s="4" t="str">
        <f>'[2]rio results'!M142</f>
        <v>10.3390/ma17133306</v>
      </c>
      <c r="F142" s="4">
        <v>12</v>
      </c>
    </row>
    <row r="143" spans="1:6" x14ac:dyDescent="0.45">
      <c r="A143" t="s">
        <v>2496</v>
      </c>
      <c r="B143" t="str">
        <f>_xlfn.REGEXREPLACE([2]query2!B143, "https://doi.org/","")</f>
        <v>10.1109/mems49605.2023.10052235</v>
      </c>
      <c r="C143">
        <v>2</v>
      </c>
      <c r="D143" s="4" t="s">
        <v>2398</v>
      </c>
      <c r="E143" s="4" t="str">
        <f>'[2]rio results'!M143</f>
        <v>10.1002/adsr.202300003</v>
      </c>
      <c r="F143" s="4">
        <v>12</v>
      </c>
    </row>
    <row r="144" spans="1:6" x14ac:dyDescent="0.45">
      <c r="A144" t="s">
        <v>2497</v>
      </c>
      <c r="B144" t="str">
        <f>_xlfn.REGEXREPLACE([2]query2!B144, "https://doi.org/","")</f>
        <v>10.1149/ma2023-02371770mtgabs</v>
      </c>
      <c r="C144">
        <v>2</v>
      </c>
      <c r="D144" s="4" t="s">
        <v>2498</v>
      </c>
      <c r="E144" s="4" t="str">
        <f>'[2]rio results'!M144</f>
        <v>10.1039/d1ra07216a</v>
      </c>
      <c r="F144" s="4">
        <v>12</v>
      </c>
    </row>
    <row r="145" spans="1:6" x14ac:dyDescent="0.45">
      <c r="A145" t="s">
        <v>2499</v>
      </c>
      <c r="B145" t="str">
        <f>_xlfn.REGEXREPLACE([2]query2!B145, "https://doi.org/","")</f>
        <v>10.1002/solr.202100992</v>
      </c>
      <c r="C145">
        <v>2</v>
      </c>
      <c r="D145" s="4" t="s">
        <v>2500</v>
      </c>
      <c r="E145" s="4" t="str">
        <f>'[2]rio results'!M145</f>
        <v>10.1108/IJOES-02-2021-0033</v>
      </c>
      <c r="F145" s="4">
        <v>12</v>
      </c>
    </row>
    <row r="146" spans="1:6" x14ac:dyDescent="0.45">
      <c r="A146" t="s">
        <v>1707</v>
      </c>
      <c r="B146" t="str">
        <f>_xlfn.REGEXREPLACE([2]query2!B146, "https://doi.org/","")</f>
        <v>10.1139/cjc-2023-0232</v>
      </c>
      <c r="C146">
        <v>1</v>
      </c>
      <c r="D146" s="4" t="s">
        <v>2400</v>
      </c>
      <c r="E146" s="4" t="str">
        <f>'[2]rio results'!M146</f>
        <v>10.1021/acs.jpcc.0c09527</v>
      </c>
      <c r="F146" s="4">
        <v>12</v>
      </c>
    </row>
    <row r="147" spans="1:6" x14ac:dyDescent="0.45">
      <c r="A147" t="s">
        <v>2501</v>
      </c>
      <c r="B147" t="str">
        <f>_xlfn.REGEXREPLACE([2]query2!B147, "https://doi.org/","")</f>
        <v>10.1016/j.supflu.2023.105939</v>
      </c>
      <c r="C147">
        <v>1</v>
      </c>
      <c r="D147" s="4" t="s">
        <v>2502</v>
      </c>
      <c r="E147" s="4" t="str">
        <f>'[2]rio results'!M147</f>
        <v>10.1115/1.4047616</v>
      </c>
      <c r="F147" s="4">
        <v>12</v>
      </c>
    </row>
    <row r="148" spans="1:6" x14ac:dyDescent="0.45">
      <c r="A148" t="s">
        <v>2503</v>
      </c>
      <c r="B148" t="str">
        <f>_xlfn.REGEXREPLACE([2]query2!B148, "https://doi.org/","")</f>
        <v>10.3389/frai.2023.1137961</v>
      </c>
      <c r="C148">
        <v>1</v>
      </c>
      <c r="D148" s="4" t="s">
        <v>2504</v>
      </c>
      <c r="E148" s="4" t="str">
        <f>'[2]rio results'!M148</f>
        <v>10.1109/JSEN.2023.3247695</v>
      </c>
      <c r="F148" s="4">
        <v>11</v>
      </c>
    </row>
    <row r="149" spans="1:6" x14ac:dyDescent="0.45">
      <c r="A149" t="s">
        <v>2505</v>
      </c>
      <c r="B149" t="str">
        <f>_xlfn.REGEXREPLACE([2]query2!B149, "https://doi.org/","")</f>
        <v>10.1109/edtm53872.2022.9797966</v>
      </c>
      <c r="C149">
        <v>1</v>
      </c>
      <c r="D149" s="4" t="s">
        <v>2506</v>
      </c>
      <c r="E149" s="4" t="str">
        <f>'[2]rio results'!M149</f>
        <v>10.1002/celc.202200161</v>
      </c>
      <c r="F149" s="4">
        <v>11</v>
      </c>
    </row>
    <row r="150" spans="1:6" x14ac:dyDescent="0.45">
      <c r="A150" t="s">
        <v>1690</v>
      </c>
      <c r="B150" t="str">
        <f>_xlfn.REGEXREPLACE([2]query2!B150, "https://doi.org/","")</f>
        <v>10.1109/lsens.2024.3509373</v>
      </c>
      <c r="C150">
        <v>1</v>
      </c>
      <c r="D150" s="4" t="s">
        <v>867</v>
      </c>
      <c r="E150" s="4" t="str">
        <f>'[2]rio results'!M150</f>
        <v>10.1111/poms.13605</v>
      </c>
      <c r="F150" s="4">
        <v>11</v>
      </c>
    </row>
    <row r="151" spans="1:6" x14ac:dyDescent="0.45">
      <c r="A151" t="s">
        <v>2507</v>
      </c>
      <c r="B151" t="str">
        <f>_xlfn.REGEXREPLACE([2]query2!B151, "https://doi.org/","")</f>
        <v>10.1145/3670947.3670960</v>
      </c>
      <c r="C151">
        <v>1</v>
      </c>
      <c r="D151" s="4" t="s">
        <v>2508</v>
      </c>
      <c r="E151" s="4" t="str">
        <f>'[2]rio results'!M151</f>
        <v>10.1111/jace.18114</v>
      </c>
      <c r="F151" s="4">
        <v>11</v>
      </c>
    </row>
    <row r="152" spans="1:6" x14ac:dyDescent="0.45">
      <c r="A152" t="s">
        <v>2509</v>
      </c>
      <c r="B152" t="str">
        <f>_xlfn.REGEXREPLACE([2]query2!B152, "https://doi.org/","")</f>
        <v>10.1103/physrevb.110.064401</v>
      </c>
      <c r="C152">
        <v>1</v>
      </c>
      <c r="D152" s="4" t="s">
        <v>873</v>
      </c>
      <c r="E152" s="4" t="str">
        <f>'[2]rio results'!M152</f>
        <v>10.1016/j.jsams.2021.08.022</v>
      </c>
      <c r="F152" s="4">
        <v>11</v>
      </c>
    </row>
    <row r="153" spans="1:6" x14ac:dyDescent="0.45">
      <c r="A153" t="s">
        <v>2510</v>
      </c>
      <c r="B153" t="str">
        <f>_xlfn.REGEXREPLACE([2]query2!B153, "https://doi.org/","")</f>
        <v>10.1002/adem.202100048</v>
      </c>
      <c r="C153">
        <v>1</v>
      </c>
      <c r="D153" s="4" t="s">
        <v>2393</v>
      </c>
      <c r="E153" s="4" t="str">
        <f>'[2]rio results'!M153</f>
        <v>10.1016/j.clet.2020.100024</v>
      </c>
      <c r="F153" s="4">
        <v>11</v>
      </c>
    </row>
    <row r="154" spans="1:6" x14ac:dyDescent="0.45">
      <c r="A154" t="s">
        <v>2511</v>
      </c>
      <c r="B154" t="str">
        <f>_xlfn.REGEXREPLACE([2]query2!B154, "https://doi.org/","")</f>
        <v>10.26434/chemrxiv-2021-lj2bz</v>
      </c>
      <c r="C154">
        <v>1</v>
      </c>
      <c r="D154" s="4" t="s">
        <v>2395</v>
      </c>
      <c r="E154" s="4" t="str">
        <f>'[2]rio results'!M154</f>
        <v>10.1016/j.powtec.2020.04.031</v>
      </c>
      <c r="F154" s="4">
        <v>11</v>
      </c>
    </row>
    <row r="155" spans="1:6" x14ac:dyDescent="0.45">
      <c r="A155" t="s">
        <v>1590</v>
      </c>
      <c r="B155" t="str">
        <f>_xlfn.REGEXREPLACE([2]query2!B155, "https://doi.org/","")</f>
        <v>10.1109/sensors60989.2024.10784982</v>
      </c>
      <c r="C155">
        <v>1</v>
      </c>
      <c r="D155" s="4" t="s">
        <v>2389</v>
      </c>
      <c r="E155" s="4" t="str">
        <f>'[2]rio results'!M155</f>
        <v>10.1016/j.jpowsour.2024.235537</v>
      </c>
      <c r="F155" s="4">
        <v>10</v>
      </c>
    </row>
    <row r="156" spans="1:6" x14ac:dyDescent="0.45">
      <c r="A156" t="s">
        <v>2407</v>
      </c>
      <c r="B156" t="str">
        <f>_xlfn.REGEXREPLACE([2]query2!B156, "https://doi.org/","")</f>
        <v>10.1021/acsnano.0c03466</v>
      </c>
      <c r="C156">
        <v>1</v>
      </c>
      <c r="D156" s="4" t="s">
        <v>2512</v>
      </c>
      <c r="E156" s="4" t="str">
        <f>'[2]rio results'!M156</f>
        <v>10.1149/1945-7111/ad0dc3</v>
      </c>
      <c r="F156" s="4">
        <v>10</v>
      </c>
    </row>
    <row r="157" spans="1:6" x14ac:dyDescent="0.45">
      <c r="A157" t="s">
        <v>2513</v>
      </c>
      <c r="B157" t="str">
        <f>_xlfn.REGEXREPLACE([2]query2!B157, "https://doi.org/","")</f>
        <v>10.1117/12.3003941</v>
      </c>
      <c r="C157">
        <v>1</v>
      </c>
      <c r="D157" s="4" t="s">
        <v>2514</v>
      </c>
      <c r="E157" s="4" t="str">
        <f>'[2]rio results'!M157</f>
        <v>10.57698/v16i3.005</v>
      </c>
      <c r="F157" s="4">
        <v>10</v>
      </c>
    </row>
    <row r="158" spans="1:6" x14ac:dyDescent="0.45">
      <c r="A158" t="s">
        <v>2405</v>
      </c>
      <c r="B158" t="str">
        <f>_xlfn.REGEXREPLACE([2]query2!B158, "https://doi.org/","")</f>
        <v>10.1149/ma2020-01302305mtgabs</v>
      </c>
      <c r="C158">
        <v>1</v>
      </c>
      <c r="D158" s="4" t="s">
        <v>2515</v>
      </c>
      <c r="E158" s="4" t="str">
        <f>'[2]rio results'!M158</f>
        <v>10.1016/j.omtm.2022.05.006</v>
      </c>
      <c r="F158" s="4">
        <v>10</v>
      </c>
    </row>
    <row r="159" spans="1:6" x14ac:dyDescent="0.45">
      <c r="A159" t="s">
        <v>2516</v>
      </c>
      <c r="B159" t="str">
        <f>_xlfn.REGEXREPLACE([2]query2!B159, "https://doi.org/","")</f>
        <v>10.1016/j.envres.2022.115201</v>
      </c>
      <c r="C159">
        <v>1</v>
      </c>
      <c r="D159" s="4" t="s">
        <v>2517</v>
      </c>
      <c r="E159" s="4" t="str">
        <f>'[2]rio results'!M159</f>
        <v>10.1007/s12553-022-00655-w</v>
      </c>
      <c r="F159" s="4">
        <v>10</v>
      </c>
    </row>
    <row r="160" spans="1:6" x14ac:dyDescent="0.45">
      <c r="A160" t="s">
        <v>1570</v>
      </c>
      <c r="B160" t="str">
        <f>_xlfn.REGEXREPLACE([2]query2!B160, "https://doi.org/","")</f>
        <v>10.1149/ma2022-01412468mtgabs</v>
      </c>
      <c r="C160">
        <v>1</v>
      </c>
      <c r="D160" s="4" t="s">
        <v>2518</v>
      </c>
      <c r="E160" s="4" t="str">
        <f>'[2]rio results'!M160</f>
        <v>10.1021/acsphotonics.1c00525</v>
      </c>
      <c r="F160" s="4">
        <v>10</v>
      </c>
    </row>
    <row r="161" spans="1:6" x14ac:dyDescent="0.45">
      <c r="A161" t="s">
        <v>2519</v>
      </c>
      <c r="B161" t="str">
        <f>_xlfn.REGEXREPLACE([2]query2!B161, "https://doi.org/","")</f>
        <v>10.1109/fleps57599.2023.10220417</v>
      </c>
      <c r="C161">
        <v>0</v>
      </c>
      <c r="D161" s="4" t="s">
        <v>2520</v>
      </c>
      <c r="E161" s="4" t="str">
        <f>'[2]rio results'!M161</f>
        <v>10.1145/3686169.3686211</v>
      </c>
      <c r="F161" s="4">
        <v>9</v>
      </c>
    </row>
    <row r="162" spans="1:6" x14ac:dyDescent="0.45">
      <c r="A162" t="s">
        <v>2521</v>
      </c>
      <c r="B162" t="str">
        <f>_xlfn.REGEXREPLACE([2]query2!B162, "https://doi.org/","")</f>
        <v>10.1016/b978-0-323-95478-5.00044-3</v>
      </c>
      <c r="C162">
        <v>0</v>
      </c>
      <c r="D162" s="4" t="s">
        <v>2415</v>
      </c>
      <c r="E162" s="4" t="str">
        <f>'[2]rio results'!M162</f>
        <v>10.1016/j.jallcom.2024.174816</v>
      </c>
      <c r="F162" s="4">
        <v>9</v>
      </c>
    </row>
    <row r="163" spans="1:6" x14ac:dyDescent="0.45">
      <c r="A163" t="s">
        <v>2522</v>
      </c>
      <c r="B163" t="str">
        <f>_xlfn.REGEXREPLACE([2]query2!B163, "https://doi.org/","")</f>
        <v>10.2139/ssrn.4834657</v>
      </c>
      <c r="C163">
        <v>0</v>
      </c>
      <c r="D163" s="4" t="s">
        <v>2523</v>
      </c>
      <c r="E163" s="4">
        <f>'[2]rio results'!M163</f>
        <v>0</v>
      </c>
      <c r="F163" s="4">
        <v>9</v>
      </c>
    </row>
    <row r="164" spans="1:6" x14ac:dyDescent="0.45">
      <c r="A164" t="s">
        <v>2524</v>
      </c>
      <c r="B164" t="str">
        <f>_xlfn.REGEXREPLACE([2]query2!B164, "https://doi.org/","")</f>
        <v>10.1149/ma2020-01462626mtgabs</v>
      </c>
      <c r="C164">
        <v>0</v>
      </c>
      <c r="D164" s="4" t="s">
        <v>2525</v>
      </c>
      <c r="E164" s="4" t="str">
        <f>'[2]rio results'!M164</f>
        <v>10.1007/s00170-023-12618-0</v>
      </c>
      <c r="F164" s="4">
        <v>9</v>
      </c>
    </row>
    <row r="165" spans="1:6" x14ac:dyDescent="0.45">
      <c r="A165" t="s">
        <v>1333</v>
      </c>
      <c r="B165" t="str">
        <f>_xlfn.REGEXREPLACE([2]query2!B165, "https://doi.org/","")</f>
        <v>10.1115/detc2022-89511</v>
      </c>
      <c r="C165">
        <v>0</v>
      </c>
      <c r="D165" s="4" t="s">
        <v>2391</v>
      </c>
      <c r="E165" s="4" t="str">
        <f>'[2]rio results'!M165</f>
        <v>10.1038/s41699-023-00433-w</v>
      </c>
      <c r="F165" s="4">
        <v>9</v>
      </c>
    </row>
    <row r="166" spans="1:6" x14ac:dyDescent="0.45">
      <c r="A166" t="s">
        <v>2526</v>
      </c>
      <c r="B166" t="str">
        <f>_xlfn.REGEXREPLACE([2]query2!B166, "https://doi.org/","")</f>
        <v>10.48550/arxiv.2212.01137</v>
      </c>
      <c r="C166">
        <v>0</v>
      </c>
      <c r="D166" s="4" t="s">
        <v>2409</v>
      </c>
      <c r="E166" s="4" t="str">
        <f>'[2]rio results'!M166</f>
        <v>10.1088/2058-8585/acb722</v>
      </c>
      <c r="F166" s="4">
        <v>9</v>
      </c>
    </row>
    <row r="167" spans="1:6" x14ac:dyDescent="0.45">
      <c r="A167" t="s">
        <v>2527</v>
      </c>
      <c r="B167" t="str">
        <f>_xlfn.REGEXREPLACE([2]query2!B167, "https://doi.org/","")</f>
        <v>10.1016/j.renene.2024.121338</v>
      </c>
      <c r="C167">
        <v>0</v>
      </c>
      <c r="D167" s="4" t="s">
        <v>1009</v>
      </c>
      <c r="E167" s="4" t="str">
        <f>'[2]rio results'!M167</f>
        <v>10.1186/s12885-020-07374-3</v>
      </c>
      <c r="F167" s="4">
        <v>9</v>
      </c>
    </row>
    <row r="168" spans="1:6" x14ac:dyDescent="0.45">
      <c r="A168" t="s">
        <v>1958</v>
      </c>
      <c r="B168" t="str">
        <f>_xlfn.REGEXREPLACE([2]query2!B168, "https://doi.org/","")</f>
        <v>10.29363/nanoge.matsus.2024.301</v>
      </c>
      <c r="C168">
        <v>0</v>
      </c>
      <c r="D168" s="4" t="s">
        <v>2528</v>
      </c>
      <c r="E168" s="4" t="str">
        <f>'[2]rio results'!M168</f>
        <v>10.1007/s12351-018-0404-3</v>
      </c>
      <c r="F168" s="4">
        <v>9</v>
      </c>
    </row>
    <row r="169" spans="1:6" x14ac:dyDescent="0.45">
      <c r="A169" t="s">
        <v>2032</v>
      </c>
      <c r="B169" t="str">
        <f>_xlfn.REGEXREPLACE([2]query2!B169, "https://doi.org/","")</f>
        <v>10.29363/nanoge.matsus.2024.316</v>
      </c>
      <c r="C169">
        <v>0</v>
      </c>
      <c r="D169" s="4" t="s">
        <v>2529</v>
      </c>
      <c r="E169" s="4" t="str">
        <f>'[2]rio results'!M169</f>
        <v>10.1002/cssc.202301922</v>
      </c>
      <c r="F169" s="4">
        <v>8</v>
      </c>
    </row>
    <row r="170" spans="1:6" x14ac:dyDescent="0.45">
      <c r="A170" t="s">
        <v>2530</v>
      </c>
      <c r="B170" t="str">
        <f>_xlfn.REGEXREPLACE([2]query2!B170, "https://doi.org/","")</f>
        <v>10.1016/j.energy.2024.132617</v>
      </c>
      <c r="C170">
        <v>0</v>
      </c>
      <c r="D170" s="4" t="s">
        <v>1041</v>
      </c>
      <c r="E170" s="4" t="str">
        <f>'[2]rio results'!M170</f>
        <v>10.13532/j.jmsce.cn10-1638/td.2023.03.004</v>
      </c>
      <c r="F170" s="4">
        <v>8</v>
      </c>
    </row>
    <row r="171" spans="1:6" x14ac:dyDescent="0.45">
      <c r="A171" t="s">
        <v>2531</v>
      </c>
      <c r="B171" t="str">
        <f>_xlfn.REGEXREPLACE([2]query2!B171, "https://doi.org/","")</f>
        <v>10.1149/ma2020-02352253mtgabs</v>
      </c>
      <c r="C171">
        <v>0</v>
      </c>
      <c r="D171" s="4" t="s">
        <v>2532</v>
      </c>
      <c r="E171" s="4" t="str">
        <f>'[2]rio results'!M171</f>
        <v>10.1109/TDMR.2022.3175914</v>
      </c>
      <c r="F171" s="4">
        <v>8</v>
      </c>
    </row>
    <row r="172" spans="1:6" x14ac:dyDescent="0.45">
      <c r="A172" t="s">
        <v>2533</v>
      </c>
      <c r="B172" t="str">
        <f>_xlfn.REGEXREPLACE([2]query2!B172, "https://doi.org/","")</f>
        <v>10.1109/ifetc53656.2022.9948498</v>
      </c>
      <c r="C172">
        <v>0</v>
      </c>
      <c r="D172" s="4" t="s">
        <v>2423</v>
      </c>
      <c r="E172" s="4" t="str">
        <f>'[2]rio results'!M172</f>
        <v>10.1021/acs.macromol.1c01613</v>
      </c>
      <c r="F172" s="4">
        <v>8</v>
      </c>
    </row>
    <row r="173" spans="1:6" x14ac:dyDescent="0.45">
      <c r="A173" t="s">
        <v>2534</v>
      </c>
      <c r="B173" t="str">
        <f>_xlfn.REGEXREPLACE([2]query2!B173, "https://doi.org/","")</f>
        <v>10.1109/nmdc50713.2021.9677477</v>
      </c>
      <c r="C173">
        <v>0</v>
      </c>
      <c r="D173" s="4" t="s">
        <v>2535</v>
      </c>
      <c r="E173" s="4" t="str">
        <f>'[2]rio results'!M173</f>
        <v>10.1386/jams_00018_1</v>
      </c>
      <c r="F173" s="4">
        <v>8</v>
      </c>
    </row>
    <row r="174" spans="1:6" x14ac:dyDescent="0.45">
      <c r="A174" t="s">
        <v>2536</v>
      </c>
      <c r="B174" t="str">
        <f>_xlfn.REGEXREPLACE([2]query2!B174, "https://doi.org/","")</f>
        <v>10.48550/arxiv.2407.17575</v>
      </c>
      <c r="C174">
        <v>0</v>
      </c>
      <c r="D174" s="4" t="s">
        <v>2537</v>
      </c>
      <c r="E174" s="4" t="str">
        <f>'[2]rio results'!M174</f>
        <v>10.1016/j.applthermaleng.2024.124281</v>
      </c>
      <c r="F174" s="4">
        <v>7</v>
      </c>
    </row>
    <row r="175" spans="1:6" x14ac:dyDescent="0.45">
      <c r="A175" t="s">
        <v>2536</v>
      </c>
      <c r="B175" t="str">
        <f>_xlfn.REGEXREPLACE([2]query2!B175, "https://doi.org/","")</f>
        <v>10.1103/physrevb.110.104429</v>
      </c>
      <c r="C175">
        <v>0</v>
      </c>
      <c r="D175" s="4" t="s">
        <v>869</v>
      </c>
      <c r="E175" s="4" t="str">
        <f>'[2]rio results'!M175</f>
        <v>10.1016/j.jmapro.2023.11.007</v>
      </c>
      <c r="F175" s="4">
        <v>7</v>
      </c>
    </row>
    <row r="176" spans="1:6" x14ac:dyDescent="0.45">
      <c r="A176" t="s">
        <v>2511</v>
      </c>
      <c r="B176" t="str">
        <f>_xlfn.REGEXREPLACE([2]query2!B176, "https://doi.org/","")</f>
        <v>10.33774/chemrxiv-2021-lj2bz</v>
      </c>
      <c r="C176">
        <v>0</v>
      </c>
      <c r="D176" s="4" t="s">
        <v>1048</v>
      </c>
      <c r="E176" s="4" t="str">
        <f>'[2]rio results'!M176</f>
        <v>10.1016/j.sna.2023.114728</v>
      </c>
      <c r="F176" s="4">
        <v>7</v>
      </c>
    </row>
    <row r="177" spans="1:6" x14ac:dyDescent="0.45">
      <c r="A177" t="s">
        <v>2538</v>
      </c>
      <c r="B177" t="str">
        <f>_xlfn.REGEXREPLACE([2]query2!B177, "https://doi.org/","")</f>
        <v>10.1149/ma2022-02401481mtgabs</v>
      </c>
      <c r="C177">
        <v>0</v>
      </c>
      <c r="D177" s="4" t="s">
        <v>2539</v>
      </c>
      <c r="E177" s="4" t="str">
        <f>'[2]rio results'!M177</f>
        <v>10.1038/s41467-023-37346-7</v>
      </c>
      <c r="F177" s="4">
        <v>7</v>
      </c>
    </row>
    <row r="178" spans="1:6" x14ac:dyDescent="0.45">
      <c r="A178" t="s">
        <v>2540</v>
      </c>
      <c r="B178" t="str">
        <f>_xlfn.REGEXREPLACE([2]query2!B178, "https://doi.org/","")</f>
        <v>10.1149/ma2022-0113925mtgabs</v>
      </c>
      <c r="C178">
        <v>0</v>
      </c>
      <c r="D178" s="4" t="s">
        <v>1106</v>
      </c>
      <c r="E178" s="4" t="str">
        <f>'[2]rio results'!M178</f>
        <v>10.5194/isprs-annals-X-4-W1-2022-25-2023</v>
      </c>
      <c r="F178" s="4">
        <v>7</v>
      </c>
    </row>
    <row r="179" spans="1:6" x14ac:dyDescent="0.45">
      <c r="A179" t="s">
        <v>2541</v>
      </c>
      <c r="B179" t="str">
        <f>_xlfn.REGEXREPLACE([2]query2!B179, "https://doi.org/","")</f>
        <v>10.1149/ma2022-02401482mtgabs</v>
      </c>
      <c r="C179">
        <v>0</v>
      </c>
      <c r="D179" s="4" t="s">
        <v>2412</v>
      </c>
      <c r="E179" s="4" t="str">
        <f>'[2]rio results'!M179</f>
        <v>10.3390/nano13010018</v>
      </c>
      <c r="F179" s="4">
        <v>7</v>
      </c>
    </row>
    <row r="180" spans="1:6" x14ac:dyDescent="0.45">
      <c r="A180" t="s">
        <v>2542</v>
      </c>
      <c r="B180" t="str">
        <f>_xlfn.REGEXREPLACE([2]query2!B180, "https://doi.org/","")</f>
        <v>10.1149/ma2022-01552300mtgabs</v>
      </c>
      <c r="C180">
        <v>0</v>
      </c>
      <c r="D180" s="4" t="s">
        <v>2543</v>
      </c>
      <c r="E180" s="4" t="str">
        <f>'[2]rio results'!M180</f>
        <v>10.1088/1748-0221/17/12/C12013</v>
      </c>
      <c r="F180" s="4">
        <v>7</v>
      </c>
    </row>
    <row r="181" spans="1:6" x14ac:dyDescent="0.45">
      <c r="A181" t="s">
        <v>2544</v>
      </c>
      <c r="B181" t="str">
        <f>_xlfn.REGEXREPLACE([2]query2!B181, "https://doi.org/","")</f>
        <v>10.1016/b978-0-12-823708-3.00005-5</v>
      </c>
      <c r="C181">
        <v>0</v>
      </c>
      <c r="D181" s="4" t="s">
        <v>2545</v>
      </c>
      <c r="E181" s="4" t="str">
        <f>'[2]rio results'!M181</f>
        <v>10.1177/0169796X221106013</v>
      </c>
      <c r="F181" s="4">
        <v>7</v>
      </c>
    </row>
    <row r="182" spans="1:6" x14ac:dyDescent="0.45">
      <c r="A182" t="s">
        <v>2546</v>
      </c>
      <c r="B182" t="str">
        <f>_xlfn.REGEXREPLACE([2]query2!B182, "https://doi.org/","")</f>
        <v>10.1117/12.3003437</v>
      </c>
      <c r="C182">
        <v>0</v>
      </c>
      <c r="D182" s="4" t="s">
        <v>2547</v>
      </c>
      <c r="E182" s="4" t="str">
        <f>'[2]rio results'!M182</f>
        <v>10.1002/oa.2987</v>
      </c>
      <c r="F182" s="4">
        <v>7</v>
      </c>
    </row>
    <row r="183" spans="1:6" x14ac:dyDescent="0.45">
      <c r="A183" t="s">
        <v>2548</v>
      </c>
      <c r="B183" t="str">
        <f>_xlfn.REGEXREPLACE([2]query2!B183, "https://doi.org/","")</f>
        <v>10.2139/ssrn.4877451</v>
      </c>
      <c r="C183">
        <v>0</v>
      </c>
      <c r="D183" s="4" t="s">
        <v>1136</v>
      </c>
      <c r="E183" s="4" t="str">
        <f>'[2]rio results'!M183</f>
        <v>10.1103/PhysRevB.103.054201</v>
      </c>
      <c r="F183" s="4">
        <v>7</v>
      </c>
    </row>
    <row r="184" spans="1:6" x14ac:dyDescent="0.45">
      <c r="A184" t="s">
        <v>2549</v>
      </c>
      <c r="B184" t="str">
        <f>_xlfn.REGEXREPLACE([2]query2!B184, "https://doi.org/","")</f>
        <v>10.1101/2024.07.12.599409</v>
      </c>
      <c r="C184">
        <v>0</v>
      </c>
      <c r="D184" s="4" t="s">
        <v>2550</v>
      </c>
      <c r="E184" s="4" t="str">
        <f>'[2]rio results'!M184</f>
        <v>10.1039/d0nr08652e</v>
      </c>
      <c r="F184" s="4">
        <v>7</v>
      </c>
    </row>
    <row r="185" spans="1:6" x14ac:dyDescent="0.45">
      <c r="A185" t="s">
        <v>2551</v>
      </c>
      <c r="B185" t="str">
        <f>_xlfn.REGEXREPLACE([2]query2!B185, "https://doi.org/","")</f>
        <v>10.1115/1.4066889</v>
      </c>
      <c r="C185">
        <v>0</v>
      </c>
      <c r="D185" s="4" t="s">
        <v>2552</v>
      </c>
      <c r="E185" s="4" t="str">
        <f>'[2]rio results'!M185</f>
        <v>10.1016/j.jasrep.2020.102741</v>
      </c>
      <c r="F185" s="4">
        <v>7</v>
      </c>
    </row>
    <row r="186" spans="1:6" x14ac:dyDescent="0.45">
      <c r="A186" t="s">
        <v>2551</v>
      </c>
      <c r="B186" t="str">
        <f>_xlfn.REGEXREPLACE([2]query2!B186, "https://doi.org/","")</f>
        <v>10.1115/gt2024-125961</v>
      </c>
      <c r="C186">
        <v>0</v>
      </c>
      <c r="D186" s="4" t="s">
        <v>2424</v>
      </c>
      <c r="E186" s="4" t="str">
        <f>'[2]rio results'!M186</f>
        <v>10.1016/j.tsf.2020.138206</v>
      </c>
      <c r="F186" s="4">
        <v>7</v>
      </c>
    </row>
    <row r="187" spans="1:6" x14ac:dyDescent="0.45">
      <c r="A187" t="s">
        <v>2553</v>
      </c>
      <c r="B187" t="str">
        <f>_xlfn.REGEXREPLACE([2]query2!B187, "https://doi.org/","")</f>
        <v>10.22541/au.170670450.06565845/v1</v>
      </c>
      <c r="C187">
        <v>0</v>
      </c>
      <c r="D187" s="4" t="s">
        <v>2554</v>
      </c>
      <c r="E187" s="4" t="str">
        <f>'[2]rio results'!M187</f>
        <v>10.1111/joms.13003</v>
      </c>
      <c r="F187" s="4">
        <v>6</v>
      </c>
    </row>
    <row r="188" spans="1:6" x14ac:dyDescent="0.45">
      <c r="A188" t="s">
        <v>2555</v>
      </c>
      <c r="B188" t="str">
        <f>_xlfn.REGEXREPLACE([2]query2!B188, "https://doi.org/","")</f>
        <v>10.1149/ma2022-01552295mtgabs</v>
      </c>
      <c r="C188">
        <v>0</v>
      </c>
      <c r="D188" s="4" t="s">
        <v>2463</v>
      </c>
      <c r="E188" s="4" t="str">
        <f>'[2]rio results'!M188</f>
        <v>10.1007/s13233-024-00261-x</v>
      </c>
      <c r="F188" s="4">
        <v>6</v>
      </c>
    </row>
    <row r="189" spans="1:6" x14ac:dyDescent="0.45">
      <c r="A189" t="s">
        <v>2556</v>
      </c>
      <c r="B189" t="str">
        <f>_xlfn.REGEXREPLACE([2]query2!B189, "https://doi.org/","")</f>
        <v>10.1149/ma2022-01532200mtgabs</v>
      </c>
      <c r="C189">
        <v>0</v>
      </c>
      <c r="D189" s="4" t="s">
        <v>2557</v>
      </c>
      <c r="E189" s="4" t="str">
        <f>'[2]rio results'!M189</f>
        <v>10.1016/j.strueco.2023.09.004</v>
      </c>
      <c r="F189" s="4">
        <v>6</v>
      </c>
    </row>
    <row r="190" spans="1:6" x14ac:dyDescent="0.45">
      <c r="A190" t="s">
        <v>2558</v>
      </c>
      <c r="B190" t="str">
        <f>_xlfn.REGEXREPLACE([2]query2!B190, "https://doi.org/","")</f>
        <v>10.1149/ma2020-02332130mtgabs</v>
      </c>
      <c r="C190">
        <v>0</v>
      </c>
      <c r="D190" s="4" t="s">
        <v>2559</v>
      </c>
      <c r="E190" s="4" t="str">
        <f>'[2]rio results'!M190</f>
        <v>10.4324/9781003176497</v>
      </c>
      <c r="F190" s="4">
        <v>6</v>
      </c>
    </row>
    <row r="191" spans="1:6" x14ac:dyDescent="0.45">
      <c r="A191" t="s">
        <v>2560</v>
      </c>
      <c r="B191" t="str">
        <f>_xlfn.REGEXREPLACE([2]query2!B191, "https://doi.org/","")</f>
        <v>10.1109/jflex.2024.3408001</v>
      </c>
      <c r="C191">
        <v>0</v>
      </c>
      <c r="D191" s="4" t="s">
        <v>2561</v>
      </c>
      <c r="E191" s="4" t="str">
        <f>'[2]rio results'!M191</f>
        <v>10.11834/jig.210371</v>
      </c>
      <c r="F191" s="4">
        <v>6</v>
      </c>
    </row>
    <row r="192" spans="1:6" x14ac:dyDescent="0.45">
      <c r="A192" t="s">
        <v>2562</v>
      </c>
      <c r="B192" t="str">
        <f>_xlfn.REGEXREPLACE([2]query2!B192, "https://doi.org/","")</f>
        <v>10.1149/ma2023-02391922mtgabs</v>
      </c>
      <c r="C192">
        <v>0</v>
      </c>
      <c r="D192" s="4" t="s">
        <v>2563</v>
      </c>
      <c r="E192" s="4" t="str">
        <f>'[2]rio results'!M192</f>
        <v>10.1016/B978-0-444-59432-7.00020-0</v>
      </c>
      <c r="F192" s="4">
        <v>6</v>
      </c>
    </row>
    <row r="193" spans="1:6" x14ac:dyDescent="0.45">
      <c r="A193" t="s">
        <v>2564</v>
      </c>
      <c r="B193" t="str">
        <f>_xlfn.REGEXREPLACE([2]query2!B193, "https://doi.org/","")</f>
        <v>10.1149/ma2022-02431616mtgabs</v>
      </c>
      <c r="C193">
        <v>0</v>
      </c>
      <c r="D193" s="4" t="s">
        <v>2457</v>
      </c>
      <c r="E193" s="4" t="str">
        <f>'[2]rio results'!M193</f>
        <v>10.1109/WIFS53200.2021.9648379</v>
      </c>
      <c r="F193" s="4">
        <v>6</v>
      </c>
    </row>
    <row r="194" spans="1:6" x14ac:dyDescent="0.45">
      <c r="A194" t="s">
        <v>2565</v>
      </c>
      <c r="B194" t="str">
        <f>_xlfn.REGEXREPLACE([2]query2!B194, "https://doi.org/","")</f>
        <v>10.1149/ma2023-02391920mtgabs</v>
      </c>
      <c r="C194">
        <v>0</v>
      </c>
      <c r="D194" s="4" t="s">
        <v>908</v>
      </c>
      <c r="E194" s="4" t="str">
        <f>'[2]rio results'!M194</f>
        <v>10.1007/s00603-020-02203-2</v>
      </c>
      <c r="F194" s="4">
        <v>6</v>
      </c>
    </row>
    <row r="195" spans="1:6" x14ac:dyDescent="0.45">
      <c r="A195" t="s">
        <v>2566</v>
      </c>
      <c r="B195" t="str">
        <f>_xlfn.REGEXREPLACE([2]query2!B195, "https://doi.org/","")</f>
        <v>10.1149/ma2020-02372361mtgabs</v>
      </c>
      <c r="C195">
        <v>0</v>
      </c>
      <c r="D195" s="4" t="s">
        <v>2410</v>
      </c>
      <c r="E195" s="4" t="str">
        <f>'[2]rio results'!M195</f>
        <v>10.1016/j.sna.2020.112045</v>
      </c>
      <c r="F195" s="4">
        <v>6</v>
      </c>
    </row>
    <row r="196" spans="1:6" x14ac:dyDescent="0.45">
      <c r="A196" t="s">
        <v>2567</v>
      </c>
      <c r="B196" t="str">
        <f>_xlfn.REGEXREPLACE([2]query2!B196, "https://doi.org/","")</f>
        <v>10.1149/ma2022-01351418mtgabs</v>
      </c>
      <c r="C196">
        <v>0</v>
      </c>
      <c r="D196" s="4" t="s">
        <v>2568</v>
      </c>
      <c r="E196" s="4" t="str">
        <f>'[2]rio results'!M196</f>
        <v>10.1115/1.4046309</v>
      </c>
      <c r="F196" s="4">
        <v>6</v>
      </c>
    </row>
    <row r="197" spans="1:6" x14ac:dyDescent="0.45">
      <c r="A197" t="s">
        <v>2569</v>
      </c>
      <c r="B197" t="str">
        <f>_xlfn.REGEXREPLACE([2]query2!B197, "https://doi.org/","")</f>
        <v>10.1149/ma2023-02381818mtgabs</v>
      </c>
      <c r="C197">
        <v>0</v>
      </c>
      <c r="D197" s="4" t="s">
        <v>2420</v>
      </c>
      <c r="E197" s="4" t="str">
        <f>'[2]rio results'!M197</f>
        <v>10.1021/acsami.0c00724</v>
      </c>
      <c r="F197" s="4">
        <v>6</v>
      </c>
    </row>
    <row r="198" spans="1:6" x14ac:dyDescent="0.45">
      <c r="A198" t="s">
        <v>2570</v>
      </c>
      <c r="B198" t="str">
        <f>_xlfn.REGEXREPLACE([2]query2!B198, "https://doi.org/","")</f>
        <v>10.1149/ma2020-02352257mtgabs</v>
      </c>
      <c r="C198">
        <v>0</v>
      </c>
      <c r="D198" s="4" t="s">
        <v>2571</v>
      </c>
      <c r="E198" s="4" t="str">
        <f>'[2]rio results'!M198</f>
        <v>10.1186/s12954-024-00980-5</v>
      </c>
      <c r="F198" s="4">
        <v>5</v>
      </c>
    </row>
    <row r="199" spans="1:6" x14ac:dyDescent="0.45">
      <c r="A199" t="s">
        <v>2572</v>
      </c>
      <c r="B199" t="str">
        <f>_xlfn.REGEXREPLACE([2]query2!B199, "https://doi.org/","")</f>
        <v>10.1149/ma2022-02391413mtgabs</v>
      </c>
      <c r="C199">
        <v>0</v>
      </c>
      <c r="D199" s="4" t="s">
        <v>2414</v>
      </c>
      <c r="E199" s="4" t="str">
        <f>'[2]rio results'!M199</f>
        <v>10.1016/j.mtcomm.2024.109928</v>
      </c>
      <c r="F199" s="4">
        <v>5</v>
      </c>
    </row>
    <row r="200" spans="1:6" x14ac:dyDescent="0.45">
      <c r="A200" t="s">
        <v>2440</v>
      </c>
      <c r="B200" t="str">
        <f>_xlfn.REGEXREPLACE([2]query2!B200, "https://doi.org/","")</f>
        <v>10.21203/rs.3.rs-3884985/v1</v>
      </c>
      <c r="D200" s="4" t="s">
        <v>2465</v>
      </c>
      <c r="E200" s="4" t="str">
        <f>'[2]rio results'!M200</f>
        <v>10.1002/batt.202300367</v>
      </c>
      <c r="F200" s="4">
        <v>5</v>
      </c>
    </row>
    <row r="201" spans="1:6" x14ac:dyDescent="0.45">
      <c r="D201" s="4" t="s">
        <v>2573</v>
      </c>
      <c r="E201" s="4" t="str">
        <f>'[2]rio results'!M201</f>
        <v>10.1038/s41598-023-38154-1</v>
      </c>
      <c r="F201" s="4">
        <v>5</v>
      </c>
    </row>
    <row r="202" spans="1:6" x14ac:dyDescent="0.45">
      <c r="D202" s="4" t="s">
        <v>2452</v>
      </c>
      <c r="E202" s="4" t="str">
        <f>'[2]rio results'!M202</f>
        <v>10.1016/j.aquatox.2023.106640</v>
      </c>
      <c r="F202" s="4">
        <v>5</v>
      </c>
    </row>
    <row r="203" spans="1:6" x14ac:dyDescent="0.45">
      <c r="D203" s="4" t="s">
        <v>2574</v>
      </c>
      <c r="E203" s="4" t="str">
        <f>'[2]rio results'!M203</f>
        <v>10.1016/j.nimb.2023.05.041</v>
      </c>
      <c r="F203" s="4">
        <v>5</v>
      </c>
    </row>
    <row r="204" spans="1:6" x14ac:dyDescent="0.45">
      <c r="D204" s="4" t="s">
        <v>1333</v>
      </c>
      <c r="E204" s="4" t="str">
        <f>'[2]rio results'!M204</f>
        <v>10.1115/1.4055149</v>
      </c>
      <c r="F204" s="4">
        <v>5</v>
      </c>
    </row>
    <row r="205" spans="1:6" x14ac:dyDescent="0.45">
      <c r="D205" s="4" t="s">
        <v>2575</v>
      </c>
      <c r="E205" s="4" t="str">
        <f>'[2]rio results'!M205</f>
        <v>10.1021/acsaem.2c01548</v>
      </c>
      <c r="F205" s="4">
        <v>5</v>
      </c>
    </row>
    <row r="206" spans="1:6" x14ac:dyDescent="0.45">
      <c r="D206" s="4" t="s">
        <v>2576</v>
      </c>
      <c r="E206" s="4" t="str">
        <f>'[2]rio results'!M206</f>
        <v>10.1063/5.0106934</v>
      </c>
      <c r="F206" s="4">
        <v>5</v>
      </c>
    </row>
    <row r="207" spans="1:6" x14ac:dyDescent="0.45">
      <c r="D207" s="4" t="s">
        <v>2444</v>
      </c>
      <c r="E207" s="4" t="str">
        <f>'[2]rio results'!M207</f>
        <v>10.1016/j.matchemphys.2022.126272</v>
      </c>
      <c r="F207" s="4">
        <v>5</v>
      </c>
    </row>
    <row r="208" spans="1:6" x14ac:dyDescent="0.45">
      <c r="D208" s="4" t="s">
        <v>2577</v>
      </c>
      <c r="E208" s="4" t="str">
        <f>'[2]rio results'!M208</f>
        <v>10.1039/d1ma00847a</v>
      </c>
      <c r="F208" s="4">
        <v>5</v>
      </c>
    </row>
    <row r="209" spans="4:6" x14ac:dyDescent="0.45">
      <c r="D209" s="4" t="s">
        <v>2578</v>
      </c>
      <c r="E209" s="4" t="str">
        <f>'[2]rio results'!M209</f>
        <v>10.1088/2058-8585/ac1fd6</v>
      </c>
      <c r="F209" s="4">
        <v>5</v>
      </c>
    </row>
    <row r="210" spans="4:6" x14ac:dyDescent="0.45">
      <c r="D210" s="4" t="s">
        <v>2579</v>
      </c>
      <c r="E210" s="4" t="str">
        <f>'[2]rio results'!M210</f>
        <v>10.1115/1.4050363</v>
      </c>
      <c r="F210" s="4">
        <v>5</v>
      </c>
    </row>
    <row r="211" spans="4:6" x14ac:dyDescent="0.45">
      <c r="D211" s="4" t="s">
        <v>2580</v>
      </c>
      <c r="E211" s="4" t="str">
        <f>'[2]rio results'!M211</f>
        <v>10.1039/d0qm00403k</v>
      </c>
      <c r="F211" s="4">
        <v>5</v>
      </c>
    </row>
    <row r="212" spans="4:6" x14ac:dyDescent="0.45">
      <c r="D212" s="4" t="s">
        <v>2581</v>
      </c>
      <c r="E212" s="4">
        <f>'[2]rio results'!M212</f>
        <v>0</v>
      </c>
      <c r="F212" s="4">
        <v>5</v>
      </c>
    </row>
    <row r="213" spans="4:6" x14ac:dyDescent="0.45">
      <c r="D213" s="4" t="s">
        <v>2582</v>
      </c>
      <c r="E213" s="4" t="str">
        <f>'[2]rio results'!M213</f>
        <v>10.3390/cryst10121109</v>
      </c>
      <c r="F213" s="4">
        <v>5</v>
      </c>
    </row>
    <row r="214" spans="4:6" x14ac:dyDescent="0.45">
      <c r="D214" s="4" t="s">
        <v>2422</v>
      </c>
      <c r="E214" s="4" t="str">
        <f>'[2]rio results'!M214</f>
        <v>10.1134/S1063776120070080</v>
      </c>
      <c r="F214" s="4">
        <v>5</v>
      </c>
    </row>
    <row r="215" spans="4:6" x14ac:dyDescent="0.45">
      <c r="D215" s="4" t="s">
        <v>2583</v>
      </c>
      <c r="E215" s="4" t="str">
        <f>'[2]rio results'!M215</f>
        <v>10.1016/B978-0-12-818475-2.00002-7</v>
      </c>
      <c r="F215" s="4">
        <v>5</v>
      </c>
    </row>
    <row r="216" spans="4:6" x14ac:dyDescent="0.45">
      <c r="D216" s="4" t="s">
        <v>1418</v>
      </c>
      <c r="E216" s="4" t="str">
        <f>'[2]rio results'!M216</f>
        <v>10.1007/s10346-024-02346-1</v>
      </c>
      <c r="F216" s="4">
        <v>4</v>
      </c>
    </row>
    <row r="217" spans="4:6" x14ac:dyDescent="0.45">
      <c r="D217" s="4" t="s">
        <v>2440</v>
      </c>
      <c r="E217" s="4" t="str">
        <f>'[2]rio results'!M217</f>
        <v>10.1038/s41467-024-51024-2</v>
      </c>
      <c r="F217" s="4">
        <v>4</v>
      </c>
    </row>
    <row r="218" spans="4:6" x14ac:dyDescent="0.45">
      <c r="D218" s="4" t="s">
        <v>2469</v>
      </c>
      <c r="E218" s="4" t="str">
        <f>'[2]rio results'!M218</f>
        <v>10.1016/j.jallcom.2024.176341</v>
      </c>
      <c r="F218" s="4">
        <v>4</v>
      </c>
    </row>
    <row r="219" spans="4:6" x14ac:dyDescent="0.45">
      <c r="D219" s="4" t="s">
        <v>1060</v>
      </c>
      <c r="E219" s="4" t="str">
        <f>'[2]rio results'!M219</f>
        <v>10.1103/PhysRevResearch.6.033055</v>
      </c>
      <c r="F219" s="4">
        <v>4</v>
      </c>
    </row>
    <row r="220" spans="4:6" x14ac:dyDescent="0.45">
      <c r="D220" s="4" t="s">
        <v>2584</v>
      </c>
      <c r="E220" s="4" t="str">
        <f>'[2]rio results'!M220</f>
        <v>10.1149/1945-7111/ad4c11</v>
      </c>
      <c r="F220" s="4">
        <v>4</v>
      </c>
    </row>
    <row r="221" spans="4:6" x14ac:dyDescent="0.45">
      <c r="D221" s="4" t="s">
        <v>2585</v>
      </c>
      <c r="E221" s="4" t="str">
        <f>'[2]rio results'!M221</f>
        <v>10.1039/d3tc03695b</v>
      </c>
      <c r="F221" s="4">
        <v>4</v>
      </c>
    </row>
    <row r="222" spans="4:6" x14ac:dyDescent="0.45">
      <c r="D222" s="4" t="s">
        <v>2586</v>
      </c>
      <c r="E222" s="4" t="str">
        <f>'[2]rio results'!M222</f>
        <v>10.1002/aisy.202300015</v>
      </c>
      <c r="F222" s="4">
        <v>4</v>
      </c>
    </row>
    <row r="223" spans="4:6" x14ac:dyDescent="0.45">
      <c r="D223" s="4" t="s">
        <v>2436</v>
      </c>
      <c r="E223" s="4" t="str">
        <f>'[2]rio results'!M223</f>
        <v>10.1145/3544548.3581024</v>
      </c>
      <c r="F223" s="4">
        <v>4</v>
      </c>
    </row>
    <row r="224" spans="4:6" x14ac:dyDescent="0.45">
      <c r="D224" s="4" t="s">
        <v>2446</v>
      </c>
      <c r="E224" s="4" t="str">
        <f>'[2]rio results'!M224</f>
        <v>10.1016/B978-0-08-102795-0.00003-7</v>
      </c>
      <c r="F224" s="4">
        <v>4</v>
      </c>
    </row>
    <row r="225" spans="4:6" x14ac:dyDescent="0.45">
      <c r="D225" s="4" t="s">
        <v>1476</v>
      </c>
      <c r="E225" s="4" t="str">
        <f>'[2]rio results'!M225</f>
        <v>10.1111/rssc.12572</v>
      </c>
      <c r="F225" s="4">
        <v>4</v>
      </c>
    </row>
    <row r="226" spans="4:6" x14ac:dyDescent="0.45">
      <c r="D226" s="4" t="s">
        <v>2447</v>
      </c>
      <c r="E226" s="4" t="str">
        <f>'[2]rio results'!M226</f>
        <v>10.1177/0169796X221107217</v>
      </c>
      <c r="F226" s="4">
        <v>4</v>
      </c>
    </row>
    <row r="227" spans="4:6" x14ac:dyDescent="0.45">
      <c r="D227" s="4" t="s">
        <v>2587</v>
      </c>
      <c r="E227" s="4" t="str">
        <f>'[2]rio results'!M227</f>
        <v>10.1016/j.jmmm.2021.168646</v>
      </c>
      <c r="F227" s="4">
        <v>4</v>
      </c>
    </row>
    <row r="228" spans="4:6" x14ac:dyDescent="0.45">
      <c r="D228" s="4" t="s">
        <v>2588</v>
      </c>
      <c r="E228" s="4" t="str">
        <f>'[2]rio results'!M228</f>
        <v>10.1504/ijpp.2022.127431</v>
      </c>
      <c r="F228" s="4">
        <v>4</v>
      </c>
    </row>
    <row r="229" spans="4:6" x14ac:dyDescent="0.45">
      <c r="D229" s="4" t="s">
        <v>2426</v>
      </c>
      <c r="E229" s="4" t="str">
        <f>'[2]rio results'!M229</f>
        <v>10.1098/rsos.210141</v>
      </c>
      <c r="F229" s="4">
        <v>4</v>
      </c>
    </row>
    <row r="230" spans="4:6" x14ac:dyDescent="0.45">
      <c r="D230" s="4" t="s">
        <v>2589</v>
      </c>
      <c r="E230" s="4" t="str">
        <f>'[2]rio results'!M230</f>
        <v>10.1088/1742-6596/1802/3/032035</v>
      </c>
      <c r="F230" s="4">
        <v>4</v>
      </c>
    </row>
    <row r="231" spans="4:6" x14ac:dyDescent="0.45">
      <c r="D231" s="4" t="s">
        <v>2590</v>
      </c>
      <c r="E231" s="4" t="str">
        <f>'[2]rio results'!M231</f>
        <v>10.1109/SAS48726.2020.9220040</v>
      </c>
      <c r="F231" s="4">
        <v>4</v>
      </c>
    </row>
    <row r="232" spans="4:6" x14ac:dyDescent="0.45">
      <c r="D232" s="4" t="s">
        <v>2591</v>
      </c>
      <c r="E232" s="4" t="str">
        <f>'[2]rio results'!M232</f>
        <v>10.1016/j.cbd.2019.100635</v>
      </c>
      <c r="F232" s="4">
        <v>4</v>
      </c>
    </row>
    <row r="233" spans="4:6" x14ac:dyDescent="0.45">
      <c r="D233" s="4" t="s">
        <v>2592</v>
      </c>
      <c r="E233" s="4" t="str">
        <f>'[2]rio results'!M233</f>
        <v>10.1109/ACCESS.2020.3030325</v>
      </c>
      <c r="F233" s="4">
        <v>4</v>
      </c>
    </row>
    <row r="234" spans="4:6" x14ac:dyDescent="0.45">
      <c r="D234" s="4" t="s">
        <v>2593</v>
      </c>
      <c r="E234" s="4" t="str">
        <f>'[2]rio results'!M234</f>
        <v>10.4324/9780429330025-6</v>
      </c>
      <c r="F234" s="4">
        <v>4</v>
      </c>
    </row>
    <row r="235" spans="4:6" x14ac:dyDescent="0.45">
      <c r="D235" s="4" t="s">
        <v>2471</v>
      </c>
      <c r="E235" s="4" t="str">
        <f>'[2]rio results'!M235</f>
        <v>10.1021/acsami.4c01045</v>
      </c>
      <c r="F235" s="4">
        <v>3</v>
      </c>
    </row>
    <row r="236" spans="4:6" x14ac:dyDescent="0.45">
      <c r="D236" s="4" t="s">
        <v>2594</v>
      </c>
      <c r="E236" s="4" t="str">
        <f>'[2]rio results'!M236</f>
        <v>10.1021/acsami.3c17745</v>
      </c>
      <c r="F236" s="4">
        <v>3</v>
      </c>
    </row>
    <row r="237" spans="4:6" x14ac:dyDescent="0.45">
      <c r="D237" s="4" t="s">
        <v>2595</v>
      </c>
      <c r="E237" s="4" t="str">
        <f>'[2]rio results'!M237</f>
        <v>10.1137/22M1506985</v>
      </c>
      <c r="F237" s="4">
        <v>3</v>
      </c>
    </row>
    <row r="238" spans="4:6" x14ac:dyDescent="0.45">
      <c r="D238" s="4" t="s">
        <v>2596</v>
      </c>
      <c r="E238" s="4" t="str">
        <f>'[2]rio results'!M238</f>
        <v>10.1016/j.wear.2023.205225</v>
      </c>
      <c r="F238" s="4">
        <v>3</v>
      </c>
    </row>
    <row r="239" spans="4:6" x14ac:dyDescent="0.45">
      <c r="D239" s="4" t="s">
        <v>2597</v>
      </c>
      <c r="E239" s="4" t="str">
        <f>'[2]rio results'!M239</f>
        <v>10.1088/1748-0221/19/02/C02001</v>
      </c>
      <c r="F239" s="4">
        <v>3</v>
      </c>
    </row>
    <row r="240" spans="4:6" x14ac:dyDescent="0.45">
      <c r="D240" s="4" t="s">
        <v>1590</v>
      </c>
      <c r="E240" s="4" t="str">
        <f>'[2]rio results'!M240</f>
        <v>10.1109/SENSORS60989.2024.10784982</v>
      </c>
      <c r="F240" s="4">
        <v>3</v>
      </c>
    </row>
    <row r="241" spans="4:6" x14ac:dyDescent="0.45">
      <c r="D241" s="4" t="s">
        <v>2598</v>
      </c>
      <c r="E241" s="4" t="str">
        <f>'[2]rio results'!M241</f>
        <v>10.1063/5.0175532</v>
      </c>
      <c r="F241" s="4">
        <v>3</v>
      </c>
    </row>
    <row r="242" spans="4:6" x14ac:dyDescent="0.45">
      <c r="D242" s="4" t="s">
        <v>2599</v>
      </c>
      <c r="E242" s="4" t="str">
        <f>'[2]rio results'!M242</f>
        <v>10.1103/PhysRevLett.131.049701</v>
      </c>
      <c r="F242" s="4">
        <v>3</v>
      </c>
    </row>
    <row r="243" spans="4:6" x14ac:dyDescent="0.45">
      <c r="D243" s="4" t="s">
        <v>2600</v>
      </c>
      <c r="E243" s="4" t="str">
        <f>'[2]rio results'!M243</f>
        <v>10.1049/pel2.12463</v>
      </c>
      <c r="F243" s="4">
        <v>3</v>
      </c>
    </row>
    <row r="244" spans="4:6" x14ac:dyDescent="0.45">
      <c r="D244" s="4" t="s">
        <v>2430</v>
      </c>
      <c r="E244" s="4" t="str">
        <f>'[2]rio results'!M244</f>
        <v>10.1016/j.jasrep.2022.103800</v>
      </c>
      <c r="F244" s="4">
        <v>3</v>
      </c>
    </row>
    <row r="245" spans="4:6" x14ac:dyDescent="0.45">
      <c r="D245" s="4" t="s">
        <v>2601</v>
      </c>
      <c r="E245" s="4" t="str">
        <f>'[2]rio results'!M245</f>
        <v>10.1109/IFETC57334.2023.10254902</v>
      </c>
      <c r="F245" s="4">
        <v>3</v>
      </c>
    </row>
    <row r="246" spans="4:6" x14ac:dyDescent="0.45">
      <c r="D246" s="4" t="s">
        <v>1414</v>
      </c>
      <c r="E246" s="4" t="str">
        <f>'[2]rio results'!M246</f>
        <v>10.1109/JFLEX.2023.3237991</v>
      </c>
      <c r="F246" s="4">
        <v>3</v>
      </c>
    </row>
    <row r="247" spans="4:6" x14ac:dyDescent="0.45">
      <c r="D247" s="4" t="s">
        <v>2602</v>
      </c>
      <c r="E247" s="4" t="str">
        <f>'[2]rio results'!M247</f>
        <v>10.1007/978-981-19-7720-6</v>
      </c>
      <c r="F247" s="4">
        <v>3</v>
      </c>
    </row>
    <row r="248" spans="4:6" x14ac:dyDescent="0.45">
      <c r="D248" s="4" t="s">
        <v>2467</v>
      </c>
      <c r="E248" s="4" t="str">
        <f>'[2]rio results'!M248</f>
        <v>10.1088/1748-0221/17/11/C11002</v>
      </c>
      <c r="F248" s="4">
        <v>3</v>
      </c>
    </row>
    <row r="249" spans="4:6" x14ac:dyDescent="0.45">
      <c r="D249" s="4" t="s">
        <v>2603</v>
      </c>
      <c r="E249" s="4" t="str">
        <f>'[2]rio results'!M249</f>
        <v>10.1002/solr.202100992</v>
      </c>
      <c r="F249" s="4">
        <v>3</v>
      </c>
    </row>
    <row r="250" spans="4:6" x14ac:dyDescent="0.45">
      <c r="D250" s="4" t="s">
        <v>2434</v>
      </c>
      <c r="E250" s="4" t="str">
        <f>'[2]rio results'!M250</f>
        <v>10.1016/j.ijheatmasstransfer.2021.122098</v>
      </c>
      <c r="F250" s="4">
        <v>3</v>
      </c>
    </row>
    <row r="251" spans="4:6" x14ac:dyDescent="0.45">
      <c r="D251" s="4" t="s">
        <v>2604</v>
      </c>
      <c r="E251" s="4" t="str">
        <f>'[2]rio results'!M251</f>
        <v>10.1039/d1nj00362c</v>
      </c>
      <c r="F251" s="4">
        <v>3</v>
      </c>
    </row>
    <row r="252" spans="4:6" x14ac:dyDescent="0.45">
      <c r="D252" s="4" t="s">
        <v>2605</v>
      </c>
      <c r="E252" s="4" t="str">
        <f>'[2]rio results'!M252</f>
        <v>10.1080/00207543.2020.1735656</v>
      </c>
      <c r="F252" s="4">
        <v>3</v>
      </c>
    </row>
    <row r="253" spans="4:6" x14ac:dyDescent="0.45">
      <c r="D253" s="4" t="s">
        <v>2606</v>
      </c>
      <c r="E253" s="4" t="str">
        <f>'[2]rio results'!M253</f>
        <v>10.1016/j.worlddev.2019.104695</v>
      </c>
      <c r="F253" s="4">
        <v>3</v>
      </c>
    </row>
    <row r="254" spans="4:6" x14ac:dyDescent="0.45">
      <c r="D254" s="4" t="s">
        <v>2450</v>
      </c>
      <c r="E254" s="4" t="str">
        <f>'[2]rio results'!M254</f>
        <v>10.1016/j.actbio.2024.10.029</v>
      </c>
      <c r="F254" s="4">
        <v>2</v>
      </c>
    </row>
    <row r="255" spans="4:6" x14ac:dyDescent="0.45">
      <c r="D255" s="4" t="s">
        <v>2478</v>
      </c>
      <c r="E255" s="4" t="str">
        <f>'[2]rio results'!M255</f>
        <v>10.1016/j.ceramint.2024.02.223</v>
      </c>
      <c r="F255" s="4">
        <v>2</v>
      </c>
    </row>
    <row r="256" spans="4:6" x14ac:dyDescent="0.45">
      <c r="D256" s="4" t="s">
        <v>2474</v>
      </c>
      <c r="E256" s="4" t="str">
        <f>'[2]rio results'!M256</f>
        <v>10.1007/s10924-024-03300-x</v>
      </c>
      <c r="F256" s="4">
        <v>2</v>
      </c>
    </row>
    <row r="257" spans="4:6" x14ac:dyDescent="0.45">
      <c r="D257" s="4" t="s">
        <v>2473</v>
      </c>
      <c r="E257" s="4" t="str">
        <f>'[2]rio results'!M257</f>
        <v>10.1016/j.enconman.2024.118780</v>
      </c>
      <c r="F257" s="4">
        <v>2</v>
      </c>
    </row>
    <row r="258" spans="4:6" x14ac:dyDescent="0.45">
      <c r="D258" s="4" t="s">
        <v>2492</v>
      </c>
      <c r="E258" s="4" t="str">
        <f>'[2]rio results'!M258</f>
        <v>10.1103/PhysRevApplied.22.024058</v>
      </c>
      <c r="F258" s="4">
        <v>2</v>
      </c>
    </row>
    <row r="259" spans="4:6" x14ac:dyDescent="0.45">
      <c r="D259" s="4" t="s">
        <v>1264</v>
      </c>
      <c r="E259" s="4" t="str">
        <f>'[2]rio results'!M259</f>
        <v>10.1103/PhysRevB.109.224421</v>
      </c>
      <c r="F259" s="4">
        <v>2</v>
      </c>
    </row>
    <row r="260" spans="4:6" x14ac:dyDescent="0.45">
      <c r="D260" s="4" t="s">
        <v>2607</v>
      </c>
      <c r="E260" s="4" t="str">
        <f>'[2]rio results'!M260</f>
        <v>10.1177/08853282241240139</v>
      </c>
      <c r="F260" s="4">
        <v>2</v>
      </c>
    </row>
    <row r="261" spans="4:6" x14ac:dyDescent="0.45">
      <c r="D261" s="4" t="s">
        <v>2608</v>
      </c>
      <c r="E261" s="4" t="str">
        <f>'[2]rio results'!M261</f>
        <v>10.1021/acsanm.4c00173</v>
      </c>
      <c r="F261" s="4">
        <v>2</v>
      </c>
    </row>
    <row r="262" spans="4:6" x14ac:dyDescent="0.45">
      <c r="D262" s="4" t="s">
        <v>2491</v>
      </c>
      <c r="E262" s="4" t="str">
        <f>'[2]rio results'!M262</f>
        <v>10.1021/acs.chas.3c00072</v>
      </c>
      <c r="F262" s="4">
        <v>2</v>
      </c>
    </row>
    <row r="263" spans="4:6" x14ac:dyDescent="0.45">
      <c r="D263" s="4" t="s">
        <v>2489</v>
      </c>
      <c r="E263" s="4" t="str">
        <f>'[2]rio results'!M263</f>
        <v>10.1088/1361-6528/ad0410</v>
      </c>
      <c r="F263" s="4">
        <v>2</v>
      </c>
    </row>
    <row r="264" spans="4:6" x14ac:dyDescent="0.45">
      <c r="D264" s="4" t="s">
        <v>2609</v>
      </c>
      <c r="E264" s="4" t="str">
        <f>'[2]rio results'!M264</f>
        <v>10.34172/ijhpm.2023.6936</v>
      </c>
      <c r="F264" s="4">
        <v>2</v>
      </c>
    </row>
    <row r="265" spans="4:6" x14ac:dyDescent="0.45">
      <c r="D265" s="4" t="s">
        <v>2496</v>
      </c>
      <c r="E265" s="4" t="str">
        <f>'[2]rio results'!M265</f>
        <v>10.1109/MEMS49605.2023.10052235</v>
      </c>
      <c r="F265" s="4">
        <v>2</v>
      </c>
    </row>
    <row r="266" spans="4:6" x14ac:dyDescent="0.45">
      <c r="D266" s="4" t="s">
        <v>1791</v>
      </c>
      <c r="E266" s="4" t="str">
        <f>'[2]rio results'!M266</f>
        <v>10.1109/EMTS57498.2023.10925248</v>
      </c>
      <c r="F266" s="4">
        <v>2</v>
      </c>
    </row>
    <row r="267" spans="4:6" x14ac:dyDescent="0.45">
      <c r="D267" s="4" t="s">
        <v>2610</v>
      </c>
      <c r="E267" s="4" t="str">
        <f>'[2]rio results'!M267</f>
        <v>10.1111/jace.18449</v>
      </c>
      <c r="F267" s="4">
        <v>2</v>
      </c>
    </row>
    <row r="268" spans="4:6" x14ac:dyDescent="0.45">
      <c r="D268" s="4" t="s">
        <v>2611</v>
      </c>
      <c r="E268" s="4">
        <f>'[2]rio results'!M268</f>
        <v>0</v>
      </c>
      <c r="F268" s="4">
        <v>2</v>
      </c>
    </row>
    <row r="269" spans="4:6" x14ac:dyDescent="0.45">
      <c r="D269" s="4" t="s">
        <v>2612</v>
      </c>
      <c r="E269" s="4" t="str">
        <f>'[2]rio results'!M269</f>
        <v>10.1109/NMDC50713.2021.9677489</v>
      </c>
      <c r="F269" s="4">
        <v>2</v>
      </c>
    </row>
    <row r="270" spans="4:6" x14ac:dyDescent="0.45">
      <c r="D270" s="4" t="s">
        <v>2613</v>
      </c>
      <c r="E270" s="4" t="str">
        <f>'[2]rio results'!M270</f>
        <v>10.1109/ECCE47101.2021.9595256</v>
      </c>
      <c r="F270" s="4">
        <v>2</v>
      </c>
    </row>
    <row r="271" spans="4:6" x14ac:dyDescent="0.45">
      <c r="D271" s="4" t="s">
        <v>2614</v>
      </c>
      <c r="E271" s="4" t="str">
        <f>'[2]rio results'!M271</f>
        <v>10.1016/j.indmarman.2020.07.004</v>
      </c>
      <c r="F271" s="4">
        <v>2</v>
      </c>
    </row>
    <row r="272" spans="4:6" x14ac:dyDescent="0.45">
      <c r="D272" s="4" t="s">
        <v>2615</v>
      </c>
      <c r="E272" s="4" t="str">
        <f>'[2]rio results'!M272</f>
        <v>10.1111/glob.12235</v>
      </c>
      <c r="F272" s="4">
        <v>2</v>
      </c>
    </row>
    <row r="273" spans="4:6" x14ac:dyDescent="0.45">
      <c r="D273" s="4" t="s">
        <v>2616</v>
      </c>
      <c r="E273" s="4" t="str">
        <f>'[2]rio results'!M273</f>
        <v>10.1115/GT2020-14960</v>
      </c>
      <c r="F273" s="4">
        <v>2</v>
      </c>
    </row>
    <row r="274" spans="4:6" x14ac:dyDescent="0.45">
      <c r="D274" s="4" t="s">
        <v>2617</v>
      </c>
      <c r="E274" s="4" t="str">
        <f>'[2]rio results'!M274</f>
        <v>10.1145/3686169.3686206</v>
      </c>
      <c r="F274" s="4">
        <v>1</v>
      </c>
    </row>
    <row r="275" spans="4:6" x14ac:dyDescent="0.45">
      <c r="D275" s="4" t="s">
        <v>2507</v>
      </c>
      <c r="E275" s="4" t="str">
        <f>'[2]rio results'!M275</f>
        <v>10.1145/3670947.3670960</v>
      </c>
      <c r="F275" s="4">
        <v>1</v>
      </c>
    </row>
    <row r="276" spans="4:6" x14ac:dyDescent="0.45">
      <c r="D276" s="4" t="s">
        <v>2618</v>
      </c>
      <c r="E276" s="4" t="str">
        <f>'[2]rio results'!M276</f>
        <v>10.1103/PhysRevB.110.064401</v>
      </c>
      <c r="F276" s="4">
        <v>1</v>
      </c>
    </row>
    <row r="277" spans="4:6" x14ac:dyDescent="0.45">
      <c r="D277" s="4" t="s">
        <v>2619</v>
      </c>
      <c r="E277" s="4" t="str">
        <f>'[2]rio results'!M277</f>
        <v>10.1097/JPO.0000000000000512</v>
      </c>
      <c r="F277" s="4">
        <v>1</v>
      </c>
    </row>
    <row r="278" spans="4:6" x14ac:dyDescent="0.45">
      <c r="D278" s="4" t="s">
        <v>2620</v>
      </c>
      <c r="E278" s="4">
        <f>'[2]rio results'!M278</f>
        <v>0</v>
      </c>
      <c r="F278" s="4">
        <v>1</v>
      </c>
    </row>
    <row r="279" spans="4:6" x14ac:dyDescent="0.45">
      <c r="D279" s="4" t="s">
        <v>2621</v>
      </c>
      <c r="E279" s="4" t="str">
        <f>'[2]rio results'!M279</f>
        <v>10.3138/cpp.2022-079</v>
      </c>
      <c r="F279" s="4">
        <v>1</v>
      </c>
    </row>
    <row r="280" spans="4:6" x14ac:dyDescent="0.45">
      <c r="D280" s="4" t="s">
        <v>2622</v>
      </c>
      <c r="E280" s="4" t="str">
        <f>'[2]rio results'!M280</f>
        <v>10.1115/DETC2024-142944</v>
      </c>
      <c r="F280" s="4">
        <v>1</v>
      </c>
    </row>
    <row r="281" spans="4:6" x14ac:dyDescent="0.45">
      <c r="D281" s="4" t="s">
        <v>2546</v>
      </c>
      <c r="E281" s="4" t="str">
        <f>'[2]rio results'!M281</f>
        <v>10.1117/12.3003437</v>
      </c>
      <c r="F281" s="4">
        <v>1</v>
      </c>
    </row>
    <row r="282" spans="4:6" x14ac:dyDescent="0.45">
      <c r="D282" s="4" t="s">
        <v>1707</v>
      </c>
      <c r="E282" s="4" t="str">
        <f>'[2]rio results'!M282</f>
        <v>10.1139/cjc-2023-0232</v>
      </c>
      <c r="F282" s="4">
        <v>1</v>
      </c>
    </row>
    <row r="283" spans="4:6" x14ac:dyDescent="0.45">
      <c r="D283" s="4" t="s">
        <v>2513</v>
      </c>
      <c r="E283" s="4" t="str">
        <f>'[2]rio results'!M283</f>
        <v>10.1117/12.3003941</v>
      </c>
      <c r="F283" s="4">
        <v>1</v>
      </c>
    </row>
    <row r="284" spans="4:6" x14ac:dyDescent="0.45">
      <c r="D284" s="4" t="s">
        <v>2623</v>
      </c>
      <c r="E284" s="4" t="str">
        <f>'[2]rio results'!M284</f>
        <v>10.1007/s42417-022-00791-7</v>
      </c>
      <c r="F284" s="4">
        <v>1</v>
      </c>
    </row>
    <row r="285" spans="4:6" x14ac:dyDescent="0.45">
      <c r="D285" s="4" t="s">
        <v>1574</v>
      </c>
      <c r="E285" s="4" t="str">
        <f>'[2]rio results'!M285</f>
        <v>10.1016/j.nimb.2023.05.012</v>
      </c>
      <c r="F285" s="4">
        <v>1</v>
      </c>
    </row>
    <row r="286" spans="4:6" x14ac:dyDescent="0.45">
      <c r="D286" s="4" t="s">
        <v>2501</v>
      </c>
      <c r="E286" s="4" t="str">
        <f>'[2]rio results'!M286</f>
        <v>10.1016/j.supflu.2023.105939</v>
      </c>
      <c r="F286" s="4">
        <v>1</v>
      </c>
    </row>
    <row r="287" spans="4:6" x14ac:dyDescent="0.45">
      <c r="D287" s="4" t="s">
        <v>2485</v>
      </c>
      <c r="E287" s="4" t="str">
        <f>'[2]rio results'!M287</f>
        <v>10.1109/FLEPS57599.2023.10220223</v>
      </c>
      <c r="F287" s="4">
        <v>1</v>
      </c>
    </row>
    <row r="288" spans="4:6" x14ac:dyDescent="0.45">
      <c r="D288" s="4" t="s">
        <v>2503</v>
      </c>
      <c r="E288" s="4" t="str">
        <f>'[2]rio results'!M288</f>
        <v>10.3389/frai.2023.1137961</v>
      </c>
      <c r="F288" s="4">
        <v>1</v>
      </c>
    </row>
    <row r="289" spans="4:6" x14ac:dyDescent="0.45">
      <c r="D289" s="4" t="s">
        <v>2624</v>
      </c>
      <c r="E289" s="4" t="str">
        <f>'[2]rio results'!M289</f>
        <v>10.1007/978-981-99-0321-4_11</v>
      </c>
      <c r="F289" s="4">
        <v>1</v>
      </c>
    </row>
    <row r="290" spans="4:6" x14ac:dyDescent="0.45">
      <c r="D290" s="4" t="s">
        <v>2625</v>
      </c>
      <c r="E290" s="4" t="str">
        <f>'[2]rio results'!M290</f>
        <v>10.1177/0169796X221107954</v>
      </c>
      <c r="F290" s="4">
        <v>1</v>
      </c>
    </row>
    <row r="291" spans="4:6" x14ac:dyDescent="0.45">
      <c r="D291" s="4" t="s">
        <v>2626</v>
      </c>
      <c r="E291" s="4" t="str">
        <f>'[2]rio results'!M291</f>
        <v>10.1109/LSENS.2022.3146353</v>
      </c>
      <c r="F291" s="4">
        <v>1</v>
      </c>
    </row>
    <row r="292" spans="4:6" x14ac:dyDescent="0.45">
      <c r="D292" s="4" t="s">
        <v>2627</v>
      </c>
      <c r="E292" s="4">
        <f>'[2]rio results'!M292</f>
        <v>0</v>
      </c>
      <c r="F292" s="4">
        <v>1</v>
      </c>
    </row>
    <row r="293" spans="4:6" x14ac:dyDescent="0.45">
      <c r="D293" s="4" t="s">
        <v>2628</v>
      </c>
      <c r="E293" s="4" t="str">
        <f>'[2]rio results'!M293</f>
        <v>10.1115/DETC2022-89300</v>
      </c>
      <c r="F293" s="4">
        <v>1</v>
      </c>
    </row>
    <row r="294" spans="4:6" x14ac:dyDescent="0.45">
      <c r="D294" s="4" t="s">
        <v>2505</v>
      </c>
      <c r="E294" s="4" t="str">
        <f>'[2]rio results'!M294</f>
        <v>10.1109/EDTM53872.2022.9797966</v>
      </c>
      <c r="F294" s="4">
        <v>1</v>
      </c>
    </row>
    <row r="295" spans="4:6" x14ac:dyDescent="0.45">
      <c r="D295" s="4" t="s">
        <v>2629</v>
      </c>
      <c r="E295" s="4" t="str">
        <f>'[2]rio results'!M295</f>
        <v>10.52975/llt.2021v88.0005</v>
      </c>
      <c r="F295" s="4">
        <v>1</v>
      </c>
    </row>
    <row r="296" spans="4:6" x14ac:dyDescent="0.45">
      <c r="D296" s="4" t="s">
        <v>2630</v>
      </c>
      <c r="E296" s="4" t="str">
        <f>'[2]rio results'!M296</f>
        <v>10.1016/j.jasrep.2021.103233</v>
      </c>
      <c r="F296" s="4">
        <v>1</v>
      </c>
    </row>
    <row r="297" spans="4:6" x14ac:dyDescent="0.45">
      <c r="D297" s="4" t="s">
        <v>2631</v>
      </c>
      <c r="E297" s="4" t="str">
        <f>'[2]rio results'!M297</f>
        <v>10.1002/adem.202100048</v>
      </c>
      <c r="F297" s="4">
        <v>1</v>
      </c>
    </row>
    <row r="298" spans="4:6" x14ac:dyDescent="0.45">
      <c r="D298" s="4" t="s">
        <v>2632</v>
      </c>
      <c r="E298" s="4" t="str">
        <f>'[2]rio results'!M298</f>
        <v>10.1017/9781316671603.018</v>
      </c>
      <c r="F298" s="4">
        <v>1</v>
      </c>
    </row>
    <row r="299" spans="4:6" x14ac:dyDescent="0.45">
      <c r="D299" s="4" t="s">
        <v>2633</v>
      </c>
      <c r="E299" s="4" t="str">
        <f>'[2]rio results'!M299</f>
        <v>10.1097/CXA.0000000000000088</v>
      </c>
      <c r="F299" s="4">
        <v>1</v>
      </c>
    </row>
    <row r="300" spans="4:6" x14ac:dyDescent="0.45">
      <c r="D300" s="4" t="s">
        <v>2634</v>
      </c>
      <c r="E300" s="4" t="str">
        <f>'[2]rio results'!M300</f>
        <v>10.1088/2058-8585/ad7e36</v>
      </c>
      <c r="F300" s="4">
        <v>0</v>
      </c>
    </row>
    <row r="301" spans="4:6" x14ac:dyDescent="0.45">
      <c r="D301" s="4" t="s">
        <v>2635</v>
      </c>
      <c r="E301" s="4" t="str">
        <f>'[2]rio results'!M301</f>
        <v>10.1088/1361-6420/ad7c78</v>
      </c>
      <c r="F301" s="4">
        <v>0</v>
      </c>
    </row>
    <row r="302" spans="4:6" x14ac:dyDescent="0.45">
      <c r="D302" s="4" t="s">
        <v>2527</v>
      </c>
      <c r="E302" s="4" t="str">
        <f>'[2]rio results'!M302</f>
        <v>10.1016/j.renene.2024.121338</v>
      </c>
      <c r="F302" s="4">
        <v>0</v>
      </c>
    </row>
    <row r="303" spans="4:6" x14ac:dyDescent="0.45">
      <c r="D303" s="4" t="s">
        <v>2530</v>
      </c>
      <c r="E303" s="4" t="str">
        <f>'[2]rio results'!M303</f>
        <v>10.1016/j.energy.2024.132617</v>
      </c>
      <c r="F303" s="4">
        <v>0</v>
      </c>
    </row>
    <row r="304" spans="4:6" x14ac:dyDescent="0.45">
      <c r="D304" s="4" t="s">
        <v>2636</v>
      </c>
      <c r="E304" s="4" t="str">
        <f>'[2]rio results'!M304</f>
        <v>10.1145/3686169.3686208</v>
      </c>
      <c r="F304" s="4">
        <v>0</v>
      </c>
    </row>
    <row r="305" spans="4:6" x14ac:dyDescent="0.45">
      <c r="D305" s="4" t="s">
        <v>2536</v>
      </c>
      <c r="E305" s="4" t="str">
        <f>'[2]rio results'!M305</f>
        <v>10.1103/PhysRevB.110.104429</v>
      </c>
      <c r="F305" s="4">
        <v>0</v>
      </c>
    </row>
    <row r="306" spans="4:6" x14ac:dyDescent="0.45">
      <c r="D306" s="4" t="s">
        <v>2637</v>
      </c>
      <c r="E306" s="4" t="str">
        <f>'[2]rio results'!M306</f>
        <v>10.1145/3613904.3642304</v>
      </c>
      <c r="F306" s="4">
        <v>0</v>
      </c>
    </row>
    <row r="307" spans="4:6" x14ac:dyDescent="0.45">
      <c r="D307" s="4" t="s">
        <v>2638</v>
      </c>
      <c r="E307" s="4" t="str">
        <f>'[2]rio results'!M307</f>
        <v>10.1145/3613904.3642356</v>
      </c>
      <c r="F307" s="4">
        <v>0</v>
      </c>
    </row>
    <row r="308" spans="4:6" x14ac:dyDescent="0.45">
      <c r="D308" s="4" t="s">
        <v>2639</v>
      </c>
      <c r="E308" s="4" t="str">
        <f>'[2]rio results'!M308</f>
        <v>10.1039/d4en00064a</v>
      </c>
      <c r="F308" s="4">
        <v>0</v>
      </c>
    </row>
    <row r="309" spans="4:6" x14ac:dyDescent="0.45">
      <c r="D309" s="4" t="s">
        <v>2640</v>
      </c>
      <c r="E309" s="4" t="str">
        <f>'[2]rio results'!M309</f>
        <v>10.1109/JFLEX.2024.3426128</v>
      </c>
      <c r="F309" s="4">
        <v>0</v>
      </c>
    </row>
    <row r="310" spans="4:6" x14ac:dyDescent="0.45">
      <c r="D310" s="4" t="s">
        <v>2560</v>
      </c>
      <c r="E310" s="4" t="str">
        <f>'[2]rio results'!M310</f>
        <v>10.1109/JFLEX.2024.3408001</v>
      </c>
      <c r="F310" s="4">
        <v>0</v>
      </c>
    </row>
    <row r="311" spans="4:6" x14ac:dyDescent="0.45">
      <c r="D311" s="4" t="s">
        <v>2641</v>
      </c>
      <c r="E311" s="4" t="str">
        <f>'[2]rio results'!M311</f>
        <v>10.4324/9781003576846-7</v>
      </c>
      <c r="F311" s="4">
        <v>0</v>
      </c>
    </row>
    <row r="312" spans="4:6" x14ac:dyDescent="0.45">
      <c r="D312" s="4" t="s">
        <v>2642</v>
      </c>
      <c r="E312" s="4" t="str">
        <f>'[2]rio results'!M312</f>
        <v>10.1115/GT2024-125961</v>
      </c>
      <c r="F312" s="4">
        <v>0</v>
      </c>
    </row>
    <row r="313" spans="4:6" x14ac:dyDescent="0.45">
      <c r="D313" s="4" t="s">
        <v>2643</v>
      </c>
      <c r="E313" s="4" t="str">
        <f>'[2]rio results'!M313</f>
        <v>10.1146/annurev-physchem-101422-030127</v>
      </c>
      <c r="F313" s="4">
        <v>0</v>
      </c>
    </row>
    <row r="314" spans="4:6" x14ac:dyDescent="0.45">
      <c r="D314" s="4" t="s">
        <v>2208</v>
      </c>
      <c r="E314" s="4" t="str">
        <f>'[2]rio results'!M314</f>
        <v>10.1115/DETC2023-114997</v>
      </c>
      <c r="F314" s="4">
        <v>0</v>
      </c>
    </row>
    <row r="315" spans="4:6" x14ac:dyDescent="0.45">
      <c r="D315" s="4" t="s">
        <v>2644</v>
      </c>
      <c r="E315" s="4" t="str">
        <f>'[2]rio results'!M315</f>
        <v>10.1115/DETC2023-114987</v>
      </c>
      <c r="F315" s="4">
        <v>0</v>
      </c>
    </row>
    <row r="316" spans="4:6" x14ac:dyDescent="0.45">
      <c r="D316" s="4" t="s">
        <v>2519</v>
      </c>
      <c r="E316" s="4" t="str">
        <f>'[2]rio results'!M316</f>
        <v>10.1109/FLEPS57599.2023.10220417</v>
      </c>
      <c r="F316" s="4">
        <v>0</v>
      </c>
    </row>
    <row r="317" spans="4:6" x14ac:dyDescent="0.45">
      <c r="D317" s="4" t="s">
        <v>2645</v>
      </c>
      <c r="E317" s="4" t="str">
        <f>'[2]rio results'!M317</f>
        <v>10.1201/9781003429746-6</v>
      </c>
      <c r="F317" s="4">
        <v>0</v>
      </c>
    </row>
    <row r="318" spans="4:6" x14ac:dyDescent="0.45">
      <c r="D318" s="4" t="s">
        <v>2646</v>
      </c>
      <c r="E318" s="4" t="str">
        <f>'[2]rio results'!M318</f>
        <v>10.1007/978-1-0716-3323-6_2</v>
      </c>
      <c r="F318" s="4">
        <v>0</v>
      </c>
    </row>
    <row r="319" spans="4:6" x14ac:dyDescent="0.45">
      <c r="D319" s="4" t="s">
        <v>2647</v>
      </c>
      <c r="E319" s="4" t="str">
        <f>'[2]rio results'!M319</f>
        <v>10.1109/EMTS57498.2023.10925226</v>
      </c>
      <c r="F319" s="4">
        <v>0</v>
      </c>
    </row>
    <row r="320" spans="4:6" x14ac:dyDescent="0.45">
      <c r="D320" s="4" t="s">
        <v>1994</v>
      </c>
      <c r="E320" s="4" t="str">
        <f>'[2]rio results'!M320</f>
        <v>10.1109/EMTS57498.2023.10925301</v>
      </c>
      <c r="F320" s="4">
        <v>0</v>
      </c>
    </row>
    <row r="321" spans="4:6" x14ac:dyDescent="0.45">
      <c r="D321" s="4" t="s">
        <v>2648</v>
      </c>
      <c r="E321" s="4" t="str">
        <f>'[2]rio results'!M321</f>
        <v>10.1016/j.matlet.2022.132861</v>
      </c>
      <c r="F321" s="4">
        <v>0</v>
      </c>
    </row>
    <row r="322" spans="4:6" x14ac:dyDescent="0.45">
      <c r="D322" s="4" t="s">
        <v>2649</v>
      </c>
      <c r="E322" s="4" t="str">
        <f>'[2]rio results'!M322</f>
        <v>10.1016/j.mtcomm.2022.103897</v>
      </c>
      <c r="F322" s="4">
        <v>0</v>
      </c>
    </row>
    <row r="323" spans="4:6" x14ac:dyDescent="0.45">
      <c r="D323" s="4" t="s">
        <v>2221</v>
      </c>
      <c r="E323" s="4" t="str">
        <f>'[2]rio results'!M323</f>
        <v>10.1016/j.enconman.2022.115573</v>
      </c>
      <c r="F323" s="4">
        <v>0</v>
      </c>
    </row>
    <row r="324" spans="4:6" x14ac:dyDescent="0.45">
      <c r="D324" s="4" t="s">
        <v>2224</v>
      </c>
      <c r="E324" s="4">
        <f>'[2]rio results'!M324</f>
        <v>0</v>
      </c>
      <c r="F324" s="4">
        <v>0</v>
      </c>
    </row>
    <row r="325" spans="4:6" x14ac:dyDescent="0.45">
      <c r="D325" s="4" t="s">
        <v>2650</v>
      </c>
      <c r="E325" s="4" t="str">
        <f>'[2]rio results'!M325</f>
        <v>10.1115/IPACK2022-98077</v>
      </c>
      <c r="F325" s="4">
        <v>0</v>
      </c>
    </row>
    <row r="326" spans="4:6" x14ac:dyDescent="0.45">
      <c r="D326" s="4" t="s">
        <v>2651</v>
      </c>
      <c r="E326" s="4" t="str">
        <f>'[2]rio results'!M326</f>
        <v>10.1115/DETC2022-89511</v>
      </c>
      <c r="F326" s="4">
        <v>0</v>
      </c>
    </row>
    <row r="327" spans="4:6" x14ac:dyDescent="0.45">
      <c r="D327" s="4" t="s">
        <v>1852</v>
      </c>
      <c r="E327" s="4" t="str">
        <f>'[2]rio results'!M327</f>
        <v>10.1109/PVSC43889.2021.9518957</v>
      </c>
      <c r="F327" s="4">
        <v>0</v>
      </c>
    </row>
    <row r="328" spans="4:6" x14ac:dyDescent="0.45">
      <c r="D328" s="4" t="s">
        <v>2544</v>
      </c>
      <c r="E328" s="4" t="str">
        <f>'[2]rio results'!M328</f>
        <v>10.1016/B978-0-12-823708-3.00005-5</v>
      </c>
      <c r="F328" s="4">
        <v>0</v>
      </c>
    </row>
    <row r="329" spans="4:6" x14ac:dyDescent="0.45">
      <c r="D329" s="4" t="s">
        <v>2534</v>
      </c>
      <c r="E329" s="4" t="str">
        <f>'[2]rio results'!M329</f>
        <v>10.1109/NMDC50713.2021.9677477</v>
      </c>
      <c r="F329" s="4">
        <v>0</v>
      </c>
    </row>
    <row r="330" spans="4:6" x14ac:dyDescent="0.45">
      <c r="D330" s="4" t="s">
        <v>2652</v>
      </c>
      <c r="E330" s="4" t="str">
        <f>'[2]rio results'!M330</f>
        <v>10.1090/conm/746/15000</v>
      </c>
      <c r="F330" s="4">
        <v>0</v>
      </c>
    </row>
  </sheetData>
  <conditionalFormatting sqref="B2:B200">
    <cfRule type="expression" dxfId="3" priority="2">
      <formula>COUNTIF($E:$E, B2)=0</formula>
    </cfRule>
  </conditionalFormatting>
  <conditionalFormatting sqref="E2:E330">
    <cfRule type="expression" dxfId="2" priority="1">
      <formula>COUNTIF($B:$B, E2)=0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BFB2-D6EE-49BD-9E2F-D926345E6958}">
  <dimension ref="A1:I769"/>
  <sheetViews>
    <sheetView workbookViewId="0">
      <selection activeCell="A58" sqref="A58"/>
    </sheetView>
  </sheetViews>
  <sheetFormatPr defaultRowHeight="14.25" x14ac:dyDescent="0.45"/>
  <cols>
    <col min="1" max="2" width="51" customWidth="1"/>
    <col min="3" max="3" width="18.19921875" bestFit="1" customWidth="1"/>
    <col min="4" max="5" width="59.33203125" customWidth="1"/>
    <col min="6" max="6" width="15.46484375" bestFit="1" customWidth="1"/>
    <col min="8" max="8" width="23.33203125" bestFit="1" customWidth="1"/>
    <col min="9" max="9" width="11.73046875" bestFit="1" customWidth="1"/>
  </cols>
  <sheetData>
    <row r="1" spans="1:9" x14ac:dyDescent="0.45">
      <c r="A1" s="11" t="s">
        <v>2293</v>
      </c>
      <c r="B1" s="11" t="s">
        <v>1</v>
      </c>
      <c r="C1" s="11" t="s">
        <v>2294</v>
      </c>
      <c r="D1" s="11" t="s">
        <v>2653</v>
      </c>
      <c r="E1" s="11" t="s">
        <v>4</v>
      </c>
      <c r="F1" s="11" t="s">
        <v>2296</v>
      </c>
      <c r="H1" s="2" t="s">
        <v>6</v>
      </c>
      <c r="I1" s="3"/>
    </row>
    <row r="2" spans="1:9" x14ac:dyDescent="0.45">
      <c r="A2" t="s">
        <v>2654</v>
      </c>
      <c r="B2" t="str">
        <f>_xlfn.REGEXREPLACE([3]query3!B2, "https://doi.org/", "")</f>
        <v>10.1016/s0140-6736(20)30526-2</v>
      </c>
      <c r="C2">
        <v>1743</v>
      </c>
      <c r="D2" s="4" t="s">
        <v>2655</v>
      </c>
      <c r="E2" s="4" t="str">
        <f>'[3]rio results'!M2</f>
        <v>10.1016/S0140-6736(22)01585-9</v>
      </c>
      <c r="F2" s="4">
        <v>601</v>
      </c>
      <c r="H2" s="5" t="s">
        <v>10</v>
      </c>
      <c r="I2" s="6" cm="1">
        <f t="array" ref="I2">COUNT(1-ISBLANK(A2:A719))</f>
        <v>718</v>
      </c>
    </row>
    <row r="3" spans="1:9" x14ac:dyDescent="0.45">
      <c r="A3" t="s">
        <v>2656</v>
      </c>
      <c r="B3" t="str">
        <f>_xlfn.REGEXREPLACE([3]query3!B3, "https://doi.org/", "")</f>
        <v>10.1111/1748-8583.12524</v>
      </c>
      <c r="C3">
        <v>671</v>
      </c>
      <c r="D3" s="4" t="s">
        <v>2656</v>
      </c>
      <c r="E3" s="4" t="str">
        <f>'[3]rio results'!M3</f>
        <v>10.1111/1748-8583.12524</v>
      </c>
      <c r="F3" s="4">
        <v>600</v>
      </c>
      <c r="H3" s="7" t="s">
        <v>14</v>
      </c>
      <c r="I3" s="8" cm="1">
        <f t="array" ref="I3">COUNT(1-ISBLANK(D2:D769))</f>
        <v>768</v>
      </c>
    </row>
    <row r="4" spans="1:9" x14ac:dyDescent="0.45">
      <c r="A4" t="s">
        <v>2657</v>
      </c>
      <c r="B4" t="str">
        <f>_xlfn.REGEXREPLACE([3]query3!B4, "https://doi.org/", "")</f>
        <v>10.1080/14494035.2020.1787628</v>
      </c>
      <c r="C4">
        <v>553</v>
      </c>
      <c r="D4" s="4" t="s">
        <v>2657</v>
      </c>
      <c r="E4" s="4" t="str">
        <f>'[3]rio results'!M4</f>
        <v>10.1080/14494035.2020.1787628</v>
      </c>
      <c r="F4" s="4">
        <v>445</v>
      </c>
      <c r="H4" s="9" t="s">
        <v>18</v>
      </c>
      <c r="I4" s="10" cm="1">
        <f t="array" ref="I4">SUM(IF(NOT(ISNA(_xlfn.XLOOKUP(B2:B719,$E$2:$E$769,$E$2:$E$769)))=TRUE, 1, 0))/I2</f>
        <v>0.60027855153203347</v>
      </c>
    </row>
    <row r="5" spans="1:9" x14ac:dyDescent="0.45">
      <c r="A5" t="s">
        <v>2658</v>
      </c>
      <c r="B5" t="str">
        <f>_xlfn.REGEXREPLACE([3]query3!B5, "https://doi.org/", "")</f>
        <v>10.1017/s0008423920000396</v>
      </c>
      <c r="C5">
        <v>441</v>
      </c>
      <c r="D5" s="4" t="s">
        <v>2659</v>
      </c>
      <c r="E5" s="4" t="str">
        <f>'[3]rio results'!M5</f>
        <v>10.1017/S0008423920000396</v>
      </c>
      <c r="F5" s="4">
        <v>341</v>
      </c>
      <c r="H5" s="9" t="s">
        <v>21</v>
      </c>
      <c r="I5" s="10" cm="1">
        <f t="array" ref="I5">SUM(IF(NOT(ISNA(_xlfn.XLOOKUP(E2:E769,$B$2:$B$719,$B$2:$B$719)))=TRUE, 1, 0))/I3</f>
        <v>0.55989583333333337</v>
      </c>
    </row>
    <row r="6" spans="1:9" x14ac:dyDescent="0.45">
      <c r="A6" t="s">
        <v>2660</v>
      </c>
      <c r="B6" t="str">
        <f>_xlfn.REGEXREPLACE([3]query3!B6, "https://doi.org/", "")</f>
        <v>10.1016/j.jclepro.2021.129099</v>
      </c>
      <c r="C6">
        <v>203</v>
      </c>
      <c r="D6" s="4" t="s">
        <v>2661</v>
      </c>
      <c r="E6" s="4" t="str">
        <f>'[3]rio results'!M6</f>
        <v>10.1177/2158244019900568</v>
      </c>
      <c r="F6" s="4">
        <v>297</v>
      </c>
    </row>
    <row r="7" spans="1:9" x14ac:dyDescent="0.45">
      <c r="A7" t="s">
        <v>2662</v>
      </c>
      <c r="B7" t="str">
        <f>_xlfn.REGEXREPLACE([3]query3!B7, "https://doi.org/", "")</f>
        <v>10.1016/j.chbah.2023.100022</v>
      </c>
      <c r="C7">
        <v>197</v>
      </c>
      <c r="D7" s="4" t="s">
        <v>2663</v>
      </c>
      <c r="E7" s="4" t="str">
        <f>'[3]rio results'!M7</f>
        <v>10.1177/1088868320918698</v>
      </c>
      <c r="F7" s="4">
        <v>282</v>
      </c>
    </row>
    <row r="8" spans="1:9" x14ac:dyDescent="0.45">
      <c r="A8" t="s">
        <v>2664</v>
      </c>
      <c r="B8" t="str">
        <f>_xlfn.REGEXREPLACE([3]query3!B8, "https://doi.org/", "")</f>
        <v>10.1177/2053168021993979</v>
      </c>
      <c r="C8">
        <v>175</v>
      </c>
      <c r="D8" s="4" t="s">
        <v>2665</v>
      </c>
      <c r="E8" s="4" t="str">
        <f>'[3]rio results'!M8</f>
        <v>10.2993/0278-0771-41.2.144</v>
      </c>
      <c r="F8" s="4">
        <v>211</v>
      </c>
    </row>
    <row r="9" spans="1:9" x14ac:dyDescent="0.45">
      <c r="A9" t="s">
        <v>2666</v>
      </c>
      <c r="B9" t="str">
        <f>_xlfn.REGEXREPLACE([3]query3!B9, "https://doi.org/", "")</f>
        <v>10.21203/rs.3.rs-311311/v1</v>
      </c>
      <c r="C9">
        <v>169</v>
      </c>
      <c r="D9" s="4" t="s">
        <v>2667</v>
      </c>
      <c r="E9" s="4" t="str">
        <f>'[3]rio results'!M9</f>
        <v>10.1038/s41576-020-0228-x</v>
      </c>
      <c r="F9" s="4">
        <v>203</v>
      </c>
    </row>
    <row r="10" spans="1:9" x14ac:dyDescent="0.45">
      <c r="A10" t="s">
        <v>2668</v>
      </c>
      <c r="B10" t="str">
        <f>_xlfn.REGEXREPLACE([3]query3!B10, "https://doi.org/", "")</f>
        <v>10.1093/biosci/biaa144</v>
      </c>
      <c r="C10">
        <v>156</v>
      </c>
      <c r="D10" s="4" t="s">
        <v>2660</v>
      </c>
      <c r="E10" s="4" t="str">
        <f>'[3]rio results'!M10</f>
        <v>10.1016/j.jclepro.2021.129099</v>
      </c>
      <c r="F10" s="4">
        <v>182</v>
      </c>
    </row>
    <row r="11" spans="1:9" x14ac:dyDescent="0.45">
      <c r="A11" t="s">
        <v>2669</v>
      </c>
      <c r="B11" t="str">
        <f>_xlfn.REGEXREPLACE([3]query3!B11, "https://doi.org/", "")</f>
        <v>10.1016/s0140-6736(20)31032-1</v>
      </c>
      <c r="C11">
        <v>135</v>
      </c>
      <c r="D11" s="4" t="s">
        <v>2670</v>
      </c>
      <c r="E11" s="4" t="str">
        <f>'[3]rio results'!M11</f>
        <v>10.1038/s41562-019-0815-z</v>
      </c>
      <c r="F11" s="4">
        <v>159</v>
      </c>
    </row>
    <row r="12" spans="1:9" x14ac:dyDescent="0.45">
      <c r="A12" t="s">
        <v>2671</v>
      </c>
      <c r="B12" t="str">
        <f>_xlfn.REGEXREPLACE([3]query3!B12, "https://doi.org/", "")</f>
        <v>10.1016/j.marpol.2020.104039</v>
      </c>
      <c r="C12">
        <v>133</v>
      </c>
      <c r="D12" s="4" t="s">
        <v>2672</v>
      </c>
      <c r="E12" s="4" t="str">
        <f>'[3]rio results'!M12</f>
        <v>10.1186/s41256-022-00255-1</v>
      </c>
      <c r="F12" s="4">
        <v>152</v>
      </c>
    </row>
    <row r="13" spans="1:9" x14ac:dyDescent="0.45">
      <c r="A13" t="s">
        <v>2673</v>
      </c>
      <c r="B13" t="str">
        <f>_xlfn.REGEXREPLACE([3]query3!B13, "https://doi.org/", "")</f>
        <v>10.1111/rego.12392</v>
      </c>
      <c r="C13">
        <v>124</v>
      </c>
      <c r="D13" s="4" t="s">
        <v>2664</v>
      </c>
      <c r="E13" s="4" t="str">
        <f>'[3]rio results'!M13</f>
        <v>10.1177/2053168021993979</v>
      </c>
      <c r="F13" s="4">
        <v>147</v>
      </c>
    </row>
    <row r="14" spans="1:9" x14ac:dyDescent="0.45">
      <c r="A14" t="s">
        <v>2674</v>
      </c>
      <c r="B14" t="str">
        <f>_xlfn.REGEXREPLACE([3]query3!B14, "https://doi.org/", "")</f>
        <v>10.1017/s0008423920000463</v>
      </c>
      <c r="C14">
        <v>110</v>
      </c>
      <c r="D14" s="4" t="s">
        <v>2675</v>
      </c>
      <c r="E14" s="4" t="str">
        <f>'[3]rio results'!M14</f>
        <v>10.1093/biosci/biaa144</v>
      </c>
      <c r="F14" s="4">
        <v>142</v>
      </c>
    </row>
    <row r="15" spans="1:9" x14ac:dyDescent="0.45">
      <c r="A15" t="s">
        <v>2676</v>
      </c>
      <c r="B15" t="str">
        <f>_xlfn.REGEXREPLACE([3]query3!B15, "https://doi.org/", "")</f>
        <v>10.1177/0308518x20904070</v>
      </c>
      <c r="C15">
        <v>108</v>
      </c>
      <c r="D15" s="4" t="s">
        <v>2677</v>
      </c>
      <c r="E15" s="4" t="str">
        <f>'[3]rio results'!M15</f>
        <v>10.1016/S2468-2667(19)30188-4</v>
      </c>
      <c r="F15" s="4">
        <v>127</v>
      </c>
    </row>
    <row r="16" spans="1:9" x14ac:dyDescent="0.45">
      <c r="A16" t="s">
        <v>2678</v>
      </c>
      <c r="B16" t="str">
        <f>_xlfn.REGEXREPLACE([3]query3!B16, "https://doi.org/", "")</f>
        <v>10.1016/j.trip.2022.100602</v>
      </c>
      <c r="C16">
        <v>106</v>
      </c>
      <c r="D16" s="4" t="s">
        <v>2679</v>
      </c>
      <c r="E16" s="4" t="str">
        <f>'[3]rio results'!M16</f>
        <v>10.1080/14616734.2020.1840762</v>
      </c>
      <c r="F16" s="4">
        <v>115</v>
      </c>
    </row>
    <row r="17" spans="1:6" x14ac:dyDescent="0.45">
      <c r="A17" t="s">
        <v>2680</v>
      </c>
      <c r="B17" t="str">
        <f>_xlfn.REGEXREPLACE([3]query3!B17, "https://doi.org/", "")</f>
        <v>10.1016/s0140-6736(23)00012-0</v>
      </c>
      <c r="C17">
        <v>105</v>
      </c>
      <c r="D17" s="4" t="s">
        <v>2673</v>
      </c>
      <c r="E17" s="4" t="str">
        <f>'[3]rio results'!M17</f>
        <v>10.1111/rego.12392</v>
      </c>
      <c r="F17" s="4">
        <v>113</v>
      </c>
    </row>
    <row r="18" spans="1:6" x14ac:dyDescent="0.45">
      <c r="A18" t="s">
        <v>2681</v>
      </c>
      <c r="B18" t="str">
        <f>_xlfn.REGEXREPLACE([3]query3!B18, "https://doi.org/", "")</f>
        <v>10.1111/add.14947</v>
      </c>
      <c r="C18">
        <v>95</v>
      </c>
      <c r="D18" s="4" t="s">
        <v>2671</v>
      </c>
      <c r="E18" s="4" t="str">
        <f>'[3]rio results'!M18</f>
        <v>10.1016/j.marpol.2020.104039</v>
      </c>
      <c r="F18" s="4">
        <v>111</v>
      </c>
    </row>
    <row r="19" spans="1:6" x14ac:dyDescent="0.45">
      <c r="A19" t="s">
        <v>2682</v>
      </c>
      <c r="B19" t="str">
        <f>_xlfn.REGEXREPLACE([3]query3!B19, "https://doi.org/", "")</f>
        <v>10.1016/s2468-2667(21)00070-0</v>
      </c>
      <c r="C19">
        <v>88</v>
      </c>
      <c r="D19" s="4" t="s">
        <v>2683</v>
      </c>
      <c r="E19" s="4" t="str">
        <f>'[3]rio results'!M19</f>
        <v>10.1038/s41467-022-35091-x</v>
      </c>
      <c r="F19" s="4">
        <v>100</v>
      </c>
    </row>
    <row r="20" spans="1:6" x14ac:dyDescent="0.45">
      <c r="A20" t="s">
        <v>2684</v>
      </c>
      <c r="B20" t="str">
        <f>_xlfn.REGEXREPLACE([3]query3!B20, "https://doi.org/", "")</f>
        <v>10.1016/j.copsyc.2021.04.009</v>
      </c>
      <c r="C20">
        <v>88</v>
      </c>
      <c r="D20" s="4" t="s">
        <v>2678</v>
      </c>
      <c r="E20" s="4" t="str">
        <f>'[3]rio results'!M20</f>
        <v>10.1016/j.trip.2022.100602</v>
      </c>
      <c r="F20" s="4">
        <v>95</v>
      </c>
    </row>
    <row r="21" spans="1:6" x14ac:dyDescent="0.45">
      <c r="A21" t="s">
        <v>2685</v>
      </c>
      <c r="B21" t="str">
        <f>_xlfn.REGEXREPLACE([3]query3!B21, "https://doi.org/", "")</f>
        <v>10.1080/19491247.2021.1940686</v>
      </c>
      <c r="C21">
        <v>87</v>
      </c>
      <c r="D21" s="4" t="s">
        <v>2686</v>
      </c>
      <c r="E21" s="4" t="str">
        <f>'[3]rio results'!M21</f>
        <v>10.2993/0278-0771-41.2.170</v>
      </c>
      <c r="F21" s="4">
        <v>95</v>
      </c>
    </row>
    <row r="22" spans="1:6" x14ac:dyDescent="0.45">
      <c r="A22" t="s">
        <v>2687</v>
      </c>
      <c r="B22" t="str">
        <f>_xlfn.REGEXREPLACE([3]query3!B22, "https://doi.org/", "")</f>
        <v>10.1016/s0140-6736(21)00215-4</v>
      </c>
      <c r="C22">
        <v>87</v>
      </c>
      <c r="D22" s="4" t="s">
        <v>2688</v>
      </c>
      <c r="E22" s="4" t="str">
        <f>'[3]rio results'!M22</f>
        <v>10.1016/j.marpol.2022.105383</v>
      </c>
      <c r="F22" s="4">
        <v>92</v>
      </c>
    </row>
    <row r="23" spans="1:6" x14ac:dyDescent="0.45">
      <c r="A23" t="s">
        <v>2689</v>
      </c>
      <c r="B23" t="str">
        <f>_xlfn.REGEXREPLACE([3]query3!B23, "https://doi.org/", "")</f>
        <v>10.1186/s12992-020-00656-2</v>
      </c>
      <c r="C23">
        <v>76</v>
      </c>
      <c r="D23" s="4" t="s">
        <v>2680</v>
      </c>
      <c r="E23" s="4" t="str">
        <f>'[3]rio results'!M23</f>
        <v>10.1016/S0140-6736(23)00012-0</v>
      </c>
      <c r="F23" s="4">
        <v>90</v>
      </c>
    </row>
    <row r="24" spans="1:6" x14ac:dyDescent="0.45">
      <c r="A24" t="s">
        <v>2690</v>
      </c>
      <c r="B24" t="str">
        <f>_xlfn.REGEXREPLACE([3]query3!B24, "https://doi.org/", "")</f>
        <v>10.1038/s44183-023-00015-9</v>
      </c>
      <c r="C24">
        <v>70</v>
      </c>
      <c r="D24" s="4" t="s">
        <v>2676</v>
      </c>
      <c r="E24" s="4" t="str">
        <f>'[3]rio results'!M24</f>
        <v>10.1177/0308518X20904070</v>
      </c>
      <c r="F24" s="4">
        <v>85</v>
      </c>
    </row>
    <row r="25" spans="1:6" x14ac:dyDescent="0.45">
      <c r="A25" t="s">
        <v>2691</v>
      </c>
      <c r="B25" t="str">
        <f>_xlfn.REGEXREPLACE([3]query3!B25, "https://doi.org/", "")</f>
        <v>10.1080/25741292.2020.1824379</v>
      </c>
      <c r="C25">
        <v>70</v>
      </c>
      <c r="D25" s="4" t="s">
        <v>2681</v>
      </c>
      <c r="E25" s="4" t="str">
        <f>'[3]rio results'!M25</f>
        <v>10.1111/add.14947</v>
      </c>
      <c r="F25" s="4">
        <v>85</v>
      </c>
    </row>
    <row r="26" spans="1:6" x14ac:dyDescent="0.45">
      <c r="A26" t="s">
        <v>2692</v>
      </c>
      <c r="B26" t="str">
        <f>_xlfn.REGEXREPLACE([3]query3!B26, "https://doi.org/", "")</f>
        <v>10.3389/fmars.2021.709947</v>
      </c>
      <c r="C26">
        <v>67</v>
      </c>
      <c r="D26" s="4" t="s">
        <v>2693</v>
      </c>
      <c r="E26" s="4" t="str">
        <f>'[3]rio results'!M26</f>
        <v>10.2105/AJPH.2019.305465</v>
      </c>
      <c r="F26" s="4">
        <v>81</v>
      </c>
    </row>
    <row r="27" spans="1:6" x14ac:dyDescent="0.45">
      <c r="A27" t="s">
        <v>2694</v>
      </c>
      <c r="B27" t="str">
        <f>_xlfn.REGEXREPLACE([3]query3!B27, "https://doi.org/", "")</f>
        <v>10.3389/fpos.2021.647957</v>
      </c>
      <c r="C27">
        <v>66</v>
      </c>
      <c r="D27" s="4" t="s">
        <v>2695</v>
      </c>
      <c r="E27" s="4" t="str">
        <f>'[3]rio results'!M27</f>
        <v>10.1093/biosci/biac053</v>
      </c>
      <c r="F27" s="4">
        <v>80</v>
      </c>
    </row>
    <row r="28" spans="1:6" x14ac:dyDescent="0.45">
      <c r="A28" t="s">
        <v>2696</v>
      </c>
      <c r="B28" t="str">
        <f>_xlfn.REGEXREPLACE([3]query3!B28, "https://doi.org/", "")</f>
        <v>10.1016/j.marpol.2021.104922</v>
      </c>
      <c r="C28">
        <v>62</v>
      </c>
      <c r="D28" s="4" t="s">
        <v>2684</v>
      </c>
      <c r="E28" s="4" t="str">
        <f>'[3]rio results'!M28</f>
        <v>10.1016/j.copsyc.2021.04.009</v>
      </c>
      <c r="F28" s="4">
        <v>70</v>
      </c>
    </row>
    <row r="29" spans="1:6" x14ac:dyDescent="0.45">
      <c r="A29" t="s">
        <v>2697</v>
      </c>
      <c r="B29" t="str">
        <f>_xlfn.REGEXREPLACE([3]query3!B29, "https://doi.org/", "")</f>
        <v>10.1016/j.isci.2020.101205</v>
      </c>
      <c r="C29">
        <v>62</v>
      </c>
      <c r="D29" s="4" t="s">
        <v>2687</v>
      </c>
      <c r="E29" s="4" t="str">
        <f>'[3]rio results'!M29</f>
        <v>10.1016/S0140-6736(21)00215-4</v>
      </c>
      <c r="F29" s="4">
        <v>70</v>
      </c>
    </row>
    <row r="30" spans="1:6" x14ac:dyDescent="0.45">
      <c r="A30" t="s">
        <v>2698</v>
      </c>
      <c r="B30" t="str">
        <f>_xlfn.REGEXREPLACE([3]query3!B30, "https://doi.org/", "")</f>
        <v>10.1016/j.jenvp.2020.101523</v>
      </c>
      <c r="C30">
        <v>61</v>
      </c>
      <c r="D30" s="4" t="s">
        <v>2699</v>
      </c>
      <c r="E30" s="4" t="str">
        <f>'[3]rio results'!M30</f>
        <v>10.1093/sp/jxz052</v>
      </c>
      <c r="F30" s="4">
        <v>67</v>
      </c>
    </row>
    <row r="31" spans="1:6" x14ac:dyDescent="0.45">
      <c r="A31" t="s">
        <v>2700</v>
      </c>
      <c r="B31" t="str">
        <f>_xlfn.REGEXREPLACE([3]query3!B31, "https://doi.org/", "")</f>
        <v>10.1089/cyber.2020.0663</v>
      </c>
      <c r="C31">
        <v>61</v>
      </c>
      <c r="D31" s="4" t="s">
        <v>2701</v>
      </c>
      <c r="E31" s="4" t="str">
        <f>'[3]rio results'!M31</f>
        <v>10.1080/19491247.2021.1940686</v>
      </c>
      <c r="F31" s="4">
        <v>66</v>
      </c>
    </row>
    <row r="32" spans="1:6" x14ac:dyDescent="0.45">
      <c r="A32" t="s">
        <v>2702</v>
      </c>
      <c r="B32" t="str">
        <f>_xlfn.REGEXREPLACE([3]query3!B32, "https://doi.org/", "")</f>
        <v>10.1086/720152</v>
      </c>
      <c r="C32">
        <v>57</v>
      </c>
      <c r="D32" s="4" t="s">
        <v>139</v>
      </c>
      <c r="E32" s="4" t="str">
        <f>'[3]rio results'!M32</f>
        <v>10.5465/amp.2021.0076</v>
      </c>
      <c r="F32" s="4">
        <v>66</v>
      </c>
    </row>
    <row r="33" spans="1:6" x14ac:dyDescent="0.45">
      <c r="A33" t="s">
        <v>2703</v>
      </c>
      <c r="B33" t="str">
        <f>_xlfn.REGEXREPLACE([3]query3!B33, "https://doi.org/", "")</f>
        <v>10.1098/rstb.2022.0196</v>
      </c>
      <c r="C33">
        <v>55</v>
      </c>
      <c r="D33" s="4" t="s">
        <v>2704</v>
      </c>
      <c r="E33" s="4" t="str">
        <f>'[3]rio results'!M33</f>
        <v>10.1126/science.ade4884</v>
      </c>
      <c r="F33" s="4">
        <v>63</v>
      </c>
    </row>
    <row r="34" spans="1:6" x14ac:dyDescent="0.45">
      <c r="A34" t="s">
        <v>2705</v>
      </c>
      <c r="B34" t="str">
        <f>_xlfn.REGEXREPLACE([3]query3!B34, "https://doi.org/", "")</f>
        <v>10.1016/j.heliyon.2023.e20544</v>
      </c>
      <c r="C34">
        <v>55</v>
      </c>
      <c r="D34" s="4" t="s">
        <v>2694</v>
      </c>
      <c r="E34" s="4" t="str">
        <f>'[3]rio results'!M34</f>
        <v>10.3389/fpos.2021.647957</v>
      </c>
      <c r="F34" s="4">
        <v>63</v>
      </c>
    </row>
    <row r="35" spans="1:6" x14ac:dyDescent="0.45">
      <c r="A35" t="s">
        <v>2706</v>
      </c>
      <c r="B35" t="str">
        <f>_xlfn.REGEXREPLACE([3]query3!B35, "https://doi.org/", "")</f>
        <v>10.1016/j.jenvp.2020.101460</v>
      </c>
      <c r="C35">
        <v>54</v>
      </c>
      <c r="D35" s="4" t="s">
        <v>2691</v>
      </c>
      <c r="E35" s="4" t="str">
        <f>'[3]rio results'!M35</f>
        <v>10.1080/25741292.2020.1824379</v>
      </c>
      <c r="F35" s="4">
        <v>63</v>
      </c>
    </row>
    <row r="36" spans="1:6" x14ac:dyDescent="0.45">
      <c r="A36" t="s">
        <v>2707</v>
      </c>
      <c r="B36" t="str">
        <f>_xlfn.REGEXREPLACE([3]query3!B36, "https://doi.org/", "")</f>
        <v>10.2196/44357</v>
      </c>
      <c r="C36">
        <v>53</v>
      </c>
      <c r="D36" s="4" t="s">
        <v>2708</v>
      </c>
      <c r="E36" s="4" t="str">
        <f>'[3]rio results'!M36</f>
        <v>10.1186/s12889-022-12747-3</v>
      </c>
      <c r="F36" s="4">
        <v>61</v>
      </c>
    </row>
    <row r="37" spans="1:6" x14ac:dyDescent="0.45">
      <c r="A37" t="s">
        <v>2709</v>
      </c>
      <c r="B37" t="str">
        <f>_xlfn.REGEXREPLACE([3]query3!B37, "https://doi.org/", "")</f>
        <v>10.1016/j.jbusres.2020.09.005</v>
      </c>
      <c r="C37">
        <v>53</v>
      </c>
      <c r="D37" s="4" t="s">
        <v>2689</v>
      </c>
      <c r="E37" s="4" t="str">
        <f>'[3]rio results'!M37</f>
        <v>10.1186/s12992-020-00656-2</v>
      </c>
      <c r="F37" s="4">
        <v>61</v>
      </c>
    </row>
    <row r="38" spans="1:6" x14ac:dyDescent="0.45">
      <c r="A38" t="s">
        <v>2710</v>
      </c>
      <c r="B38" t="str">
        <f>_xlfn.REGEXREPLACE([3]query3!B38, "https://doi.org/", "")</f>
        <v>10.1177/00207314221134040</v>
      </c>
      <c r="C38">
        <v>53</v>
      </c>
      <c r="D38" s="4" t="s">
        <v>2700</v>
      </c>
      <c r="E38" s="4" t="str">
        <f>'[3]rio results'!M38</f>
        <v>10.1089/cyber.2020.0663</v>
      </c>
      <c r="F38" s="4">
        <v>59</v>
      </c>
    </row>
    <row r="39" spans="1:6" x14ac:dyDescent="0.45">
      <c r="A39" t="s">
        <v>2711</v>
      </c>
      <c r="B39" t="str">
        <f>_xlfn.REGEXREPLACE([3]query3!B39, "https://doi.org/", "")</f>
        <v>10.4324/9781003343431</v>
      </c>
      <c r="C39">
        <v>53</v>
      </c>
      <c r="D39" s="4" t="s">
        <v>2690</v>
      </c>
      <c r="E39" s="4" t="str">
        <f>'[3]rio results'!M39</f>
        <v>10.1038/s44183-023-00015-9</v>
      </c>
      <c r="F39" s="4">
        <v>58</v>
      </c>
    </row>
    <row r="40" spans="1:6" x14ac:dyDescent="0.45">
      <c r="A40" t="s">
        <v>2712</v>
      </c>
      <c r="B40" t="str">
        <f>_xlfn.REGEXREPLACE([3]query3!B40, "https://doi.org/", "")</f>
        <v>10.1139/facets-2021-0018</v>
      </c>
      <c r="C40">
        <v>52</v>
      </c>
      <c r="D40" s="4" t="s">
        <v>2713</v>
      </c>
      <c r="E40" s="4" t="str">
        <f>'[3]rio results'!M40</f>
        <v>10.1111/padm.12849</v>
      </c>
      <c r="F40" s="4">
        <v>55</v>
      </c>
    </row>
    <row r="41" spans="1:6" x14ac:dyDescent="0.45">
      <c r="A41" t="s">
        <v>2714</v>
      </c>
      <c r="B41" t="str">
        <f>_xlfn.REGEXREPLACE([3]query3!B41, "https://doi.org/", "")</f>
        <v>10.1136/bmjopen-2020-048353</v>
      </c>
      <c r="C41">
        <v>52</v>
      </c>
      <c r="D41" s="4" t="s">
        <v>2715</v>
      </c>
      <c r="E41" s="4" t="str">
        <f>'[3]rio results'!M41</f>
        <v>10.1016/j.healthplace.2021.102605</v>
      </c>
      <c r="F41" s="4">
        <v>55</v>
      </c>
    </row>
    <row r="42" spans="1:6" x14ac:dyDescent="0.45">
      <c r="A42" t="s">
        <v>2716</v>
      </c>
      <c r="B42" t="str">
        <f>_xlfn.REGEXREPLACE([3]query3!B42, "https://doi.org/", "")</f>
        <v>10.1126/science.adn1477</v>
      </c>
      <c r="C42">
        <v>50</v>
      </c>
      <c r="D42" s="4" t="s">
        <v>2682</v>
      </c>
      <c r="E42" s="4" t="str">
        <f>'[3]rio results'!M42</f>
        <v>10.1016/S2468-2667(21)00070-0</v>
      </c>
      <c r="F42" s="4">
        <v>55</v>
      </c>
    </row>
    <row r="43" spans="1:6" x14ac:dyDescent="0.45">
      <c r="A43" t="s">
        <v>2717</v>
      </c>
      <c r="B43" t="str">
        <f>_xlfn.REGEXREPLACE([3]query3!B43, "https://doi.org/", "")</f>
        <v>10.1371/journal.pmed.1003172</v>
      </c>
      <c r="C43">
        <v>47</v>
      </c>
      <c r="D43" s="4" t="s">
        <v>2696</v>
      </c>
      <c r="E43" s="4" t="str">
        <f>'[3]rio results'!M43</f>
        <v>10.1016/j.marpol.2021.104922</v>
      </c>
      <c r="F43" s="4">
        <v>52</v>
      </c>
    </row>
    <row r="44" spans="1:6" x14ac:dyDescent="0.45">
      <c r="A44" t="s">
        <v>2718</v>
      </c>
      <c r="B44" t="str">
        <f>_xlfn.REGEXREPLACE([3]query3!B44, "https://doi.org/", "")</f>
        <v>10.1002/ejsp.2703</v>
      </c>
      <c r="C44">
        <v>47</v>
      </c>
      <c r="D44" s="4" t="s">
        <v>2702</v>
      </c>
      <c r="E44" s="4" t="str">
        <f>'[3]rio results'!M44</f>
        <v>10.1086/720152</v>
      </c>
      <c r="F44" s="4">
        <v>51</v>
      </c>
    </row>
    <row r="45" spans="1:6" x14ac:dyDescent="0.45">
      <c r="A45" t="s">
        <v>2719</v>
      </c>
      <c r="B45" t="str">
        <f>_xlfn.REGEXREPLACE([3]query3!B45, "https://doi.org/", "")</f>
        <v>10.1136/bmjgh-2021-006794</v>
      </c>
      <c r="C45">
        <v>47</v>
      </c>
      <c r="D45" s="4" t="s">
        <v>2697</v>
      </c>
      <c r="E45" s="4" t="str">
        <f>'[3]rio results'!M45</f>
        <v>10.1016/j.isci.2020.101205</v>
      </c>
      <c r="F45" s="4">
        <v>51</v>
      </c>
    </row>
    <row r="46" spans="1:6" x14ac:dyDescent="0.45">
      <c r="A46" t="s">
        <v>2720</v>
      </c>
      <c r="B46" t="str">
        <f>_xlfn.REGEXREPLACE([3]query3!B46, "https://doi.org/", "")</f>
        <v>10.1016/j.polgeo.2023.102904</v>
      </c>
      <c r="C46">
        <v>47</v>
      </c>
      <c r="D46" s="4" t="s">
        <v>2705</v>
      </c>
      <c r="E46" s="4" t="str">
        <f>'[3]rio results'!M46</f>
        <v>10.1016/j.heliyon.2023.e20544</v>
      </c>
      <c r="F46" s="4">
        <v>50</v>
      </c>
    </row>
    <row r="47" spans="1:6" x14ac:dyDescent="0.45">
      <c r="A47" t="s">
        <v>2721</v>
      </c>
      <c r="B47" t="str">
        <f>_xlfn.REGEXREPLACE([3]query3!B47, "https://doi.org/", "")</f>
        <v>10.1111/bjet.13246</v>
      </c>
      <c r="C47">
        <v>46</v>
      </c>
      <c r="D47" s="4" t="s">
        <v>2698</v>
      </c>
      <c r="E47" s="4" t="str">
        <f>'[3]rio results'!M47</f>
        <v>10.1016/j.jenvp.2020.101523</v>
      </c>
      <c r="F47" s="4">
        <v>50</v>
      </c>
    </row>
    <row r="48" spans="1:6" x14ac:dyDescent="0.45">
      <c r="A48" t="s">
        <v>2722</v>
      </c>
      <c r="B48" t="str">
        <f>_xlfn.REGEXREPLACE([3]query3!B48, "https://doi.org/", "")</f>
        <v>10.1016/j.cities.2020.102816</v>
      </c>
      <c r="C48">
        <v>46</v>
      </c>
      <c r="D48" s="4" t="s">
        <v>2723</v>
      </c>
      <c r="E48" s="4" t="str">
        <f>'[3]rio results'!M48</f>
        <v>10.3390/su12187245</v>
      </c>
      <c r="F48" s="4">
        <v>49</v>
      </c>
    </row>
    <row r="49" spans="1:6" x14ac:dyDescent="0.45">
      <c r="A49" t="s">
        <v>2724</v>
      </c>
      <c r="B49" t="str">
        <f>_xlfn.REGEXREPLACE([3]query3!B49, "https://doi.org/", "")</f>
        <v>10.3389/fmed.2024.1495582</v>
      </c>
      <c r="C49">
        <v>46</v>
      </c>
      <c r="D49" s="4" t="s">
        <v>2709</v>
      </c>
      <c r="E49" s="4" t="str">
        <f>'[3]rio results'!M49</f>
        <v>10.1016/j.jbusres.2020.09.005</v>
      </c>
      <c r="F49" s="4">
        <v>48</v>
      </c>
    </row>
    <row r="50" spans="1:6" x14ac:dyDescent="0.45">
      <c r="A50" t="s">
        <v>2725</v>
      </c>
      <c r="B50" t="str">
        <f>_xlfn.REGEXREPLACE([3]query3!B50, "https://doi.org/", "")</f>
        <v>10.1007/s10433-020-00599-y</v>
      </c>
      <c r="C50">
        <v>45</v>
      </c>
      <c r="D50" s="4" t="s">
        <v>2726</v>
      </c>
      <c r="E50" s="4" t="str">
        <f>'[3]rio results'!M50</f>
        <v>10.1016/j.eist.2019.09.002</v>
      </c>
      <c r="F50" s="4">
        <v>48</v>
      </c>
    </row>
    <row r="51" spans="1:6" x14ac:dyDescent="0.45">
      <c r="A51" t="s">
        <v>2727</v>
      </c>
      <c r="B51" t="str">
        <f>_xlfn.REGEXREPLACE([3]query3!B51, "https://doi.org/", "")</f>
        <v>10.1016/j.erss.2021.102255</v>
      </c>
      <c r="C51">
        <v>45</v>
      </c>
      <c r="D51" s="4" t="s">
        <v>2728</v>
      </c>
      <c r="E51" s="4" t="str">
        <f>'[3]rio results'!M51</f>
        <v>10.1139/facets-2021-0018</v>
      </c>
      <c r="F51" s="4">
        <v>47</v>
      </c>
    </row>
    <row r="52" spans="1:6" x14ac:dyDescent="0.45">
      <c r="A52" t="s">
        <v>2729</v>
      </c>
      <c r="B52" t="str">
        <f>_xlfn.REGEXREPLACE([3]query3!B52, "https://doi.org/", "")</f>
        <v>10.1080/03601277.2021.1927484</v>
      </c>
      <c r="C52">
        <v>44</v>
      </c>
      <c r="D52" s="4" t="s">
        <v>2730</v>
      </c>
      <c r="E52" s="4" t="str">
        <f>'[3]rio results'!M52</f>
        <v>10.1016/j.jenvp.2020.101460</v>
      </c>
      <c r="F52" s="4">
        <v>46</v>
      </c>
    </row>
    <row r="53" spans="1:6" x14ac:dyDescent="0.45">
      <c r="A53" t="s">
        <v>2731</v>
      </c>
      <c r="B53" t="str">
        <f>_xlfn.REGEXREPLACE([3]query3!B53, "https://doi.org/", "")</f>
        <v>10.1016/j.envsci.2024.103710</v>
      </c>
      <c r="C53">
        <v>43</v>
      </c>
      <c r="D53" s="4" t="s">
        <v>2732</v>
      </c>
      <c r="E53" s="4" t="str">
        <f>'[3]rio results'!M53</f>
        <v>10.1002/ieam.4661</v>
      </c>
      <c r="F53" s="4">
        <v>45</v>
      </c>
    </row>
    <row r="54" spans="1:6" x14ac:dyDescent="0.45">
      <c r="A54" t="s">
        <v>2733</v>
      </c>
      <c r="B54" t="str">
        <f>_xlfn.REGEXREPLACE([3]query3!B54, "https://doi.org/", "")</f>
        <v>10.1016/j.healthplace.2022.102844</v>
      </c>
      <c r="C54">
        <v>43</v>
      </c>
      <c r="D54" s="4" t="s">
        <v>2692</v>
      </c>
      <c r="E54" s="4" t="str">
        <f>'[3]rio results'!M54</f>
        <v>10.3389/fmars.2021.709947</v>
      </c>
      <c r="F54" s="4">
        <v>45</v>
      </c>
    </row>
    <row r="55" spans="1:6" x14ac:dyDescent="0.45">
      <c r="A55" t="s">
        <v>2734</v>
      </c>
      <c r="B55" t="str">
        <f>_xlfn.REGEXREPLACE([3]query3!B55, "https://doi.org/", "")</f>
        <v>10.1016/j.cities.2020.103017</v>
      </c>
      <c r="C55">
        <v>43</v>
      </c>
      <c r="D55" s="4" t="s">
        <v>2735</v>
      </c>
      <c r="E55" s="4">
        <f>'[3]rio results'!M55</f>
        <v>0</v>
      </c>
      <c r="F55" s="4">
        <v>44</v>
      </c>
    </row>
    <row r="56" spans="1:6" x14ac:dyDescent="0.45">
      <c r="A56" t="s">
        <v>2736</v>
      </c>
      <c r="B56" t="str">
        <f>_xlfn.REGEXREPLACE([3]query3!B56, "https://doi.org/", "")</f>
        <v>10.1002/smj.3153</v>
      </c>
      <c r="C56">
        <v>43</v>
      </c>
      <c r="D56" s="4" t="s">
        <v>2737</v>
      </c>
      <c r="E56" s="4" t="str">
        <f>'[3]rio results'!M56</f>
        <v>10.1145/3531146.3534637</v>
      </c>
      <c r="F56" s="4">
        <v>44</v>
      </c>
    </row>
    <row r="57" spans="1:6" x14ac:dyDescent="0.45">
      <c r="A57" t="s">
        <v>2738</v>
      </c>
      <c r="B57" t="str">
        <f>_xlfn.REGEXREPLACE([3]query3!B57, "https://doi.org/", "")</f>
        <v>10.1371/journal.pone.0225783</v>
      </c>
      <c r="C57">
        <v>43</v>
      </c>
      <c r="D57" s="4" t="s">
        <v>2739</v>
      </c>
      <c r="E57" s="4" t="str">
        <f>'[3]rio results'!M57</f>
        <v>10.1093/geront/gnac023</v>
      </c>
      <c r="F57" s="4">
        <v>43</v>
      </c>
    </row>
    <row r="58" spans="1:6" x14ac:dyDescent="0.45">
      <c r="A58" t="s">
        <v>2740</v>
      </c>
      <c r="B58" t="str">
        <f>_xlfn.REGEXREPLACE([3]query3!B58, "https://doi.org/", "")</f>
        <v>10.1002/ajhb.23485</v>
      </c>
      <c r="C58">
        <v>42</v>
      </c>
      <c r="D58" s="4" t="s">
        <v>2741</v>
      </c>
      <c r="E58" s="4" t="str">
        <f>'[3]rio results'!M58</f>
        <v>10.1109/IROS47612.2022.9981785</v>
      </c>
      <c r="F58" s="4">
        <v>43</v>
      </c>
    </row>
    <row r="59" spans="1:6" x14ac:dyDescent="0.45">
      <c r="A59" t="s">
        <v>2742</v>
      </c>
      <c r="B59" t="str">
        <f>_xlfn.REGEXREPLACE([3]query3!B59, "https://doi.org/", "")</f>
        <v>10.1177/00139165211065008</v>
      </c>
      <c r="C59">
        <v>41</v>
      </c>
      <c r="D59" s="4" t="s">
        <v>2722</v>
      </c>
      <c r="E59" s="4" t="str">
        <f>'[3]rio results'!M59</f>
        <v>10.1016/j.cities.2020.102816</v>
      </c>
      <c r="F59" s="4">
        <v>43</v>
      </c>
    </row>
    <row r="60" spans="1:6" x14ac:dyDescent="0.45">
      <c r="A60" t="s">
        <v>2743</v>
      </c>
      <c r="B60" t="str">
        <f>_xlfn.REGEXREPLACE([3]query3!B60, "https://doi.org/", "")</f>
        <v>10.1126/sciadv.abn0929</v>
      </c>
      <c r="C60">
        <v>41</v>
      </c>
      <c r="D60" s="4" t="s">
        <v>2744</v>
      </c>
      <c r="E60" s="4" t="str">
        <f>'[3]rio results'!M60</f>
        <v>10.1017/sus.2023.25</v>
      </c>
      <c r="F60" s="4">
        <v>42</v>
      </c>
    </row>
    <row r="61" spans="1:6" x14ac:dyDescent="0.45">
      <c r="A61" t="s">
        <v>2745</v>
      </c>
      <c r="B61" t="str">
        <f>_xlfn.REGEXREPLACE([3]query3!B61, "https://doi.org/", "")</f>
        <v>10.1017/epi.2022.14</v>
      </c>
      <c r="C61">
        <v>40</v>
      </c>
      <c r="D61" s="4" t="s">
        <v>2719</v>
      </c>
      <c r="E61" s="4" t="str">
        <f>'[3]rio results'!M61</f>
        <v>10.1136/bmjgh-2021-006794</v>
      </c>
      <c r="F61" s="4">
        <v>42</v>
      </c>
    </row>
    <row r="62" spans="1:6" x14ac:dyDescent="0.45">
      <c r="A62" t="s">
        <v>2746</v>
      </c>
      <c r="B62" t="str">
        <f>_xlfn.REGEXREPLACE([3]query3!B62, "https://doi.org/", "")</f>
        <v>10.1186/s12954-020-00454-4</v>
      </c>
      <c r="C62">
        <v>39</v>
      </c>
      <c r="D62" s="4" t="s">
        <v>2718</v>
      </c>
      <c r="E62" s="4" t="str">
        <f>'[3]rio results'!M62</f>
        <v>10.1002/ejsp.2703</v>
      </c>
      <c r="F62" s="4">
        <v>41</v>
      </c>
    </row>
    <row r="63" spans="1:6" x14ac:dyDescent="0.45">
      <c r="A63" t="s">
        <v>2739</v>
      </c>
      <c r="B63" t="str">
        <f>_xlfn.REGEXREPLACE([3]query3!B63, "https://doi.org/", "")</f>
        <v>10.1093/geront/gnac023</v>
      </c>
      <c r="C63">
        <v>38</v>
      </c>
      <c r="D63" s="4" t="s">
        <v>2721</v>
      </c>
      <c r="E63" s="4" t="str">
        <f>'[3]rio results'!M63</f>
        <v>10.1111/bjet.13246</v>
      </c>
      <c r="F63" s="4">
        <v>40</v>
      </c>
    </row>
    <row r="64" spans="1:6" x14ac:dyDescent="0.45">
      <c r="A64" t="s">
        <v>2747</v>
      </c>
      <c r="B64" t="str">
        <f>_xlfn.REGEXREPLACE([3]query3!B64, "https://doi.org/", "")</f>
        <v>10.1007/978-3-030-64171-9</v>
      </c>
      <c r="C64">
        <v>37</v>
      </c>
      <c r="D64" s="4" t="s">
        <v>2748</v>
      </c>
      <c r="E64" s="4" t="str">
        <f>'[3]rio results'!M64</f>
        <v>10.1002/smj.3153</v>
      </c>
      <c r="F64" s="4">
        <v>40</v>
      </c>
    </row>
    <row r="65" spans="1:6" x14ac:dyDescent="0.45">
      <c r="A65" t="s">
        <v>2749</v>
      </c>
      <c r="B65" t="str">
        <f>_xlfn.REGEXREPLACE([3]query3!B65, "https://doi.org/", "")</f>
        <v>10.1177/00027162221084663</v>
      </c>
      <c r="C65">
        <v>37</v>
      </c>
      <c r="D65" s="4" t="s">
        <v>2750</v>
      </c>
      <c r="E65" s="4" t="str">
        <f>'[3]rio results'!M65</f>
        <v>10.5751/ES-11509-250201</v>
      </c>
      <c r="F65" s="4">
        <v>40</v>
      </c>
    </row>
    <row r="66" spans="1:6" x14ac:dyDescent="0.45">
      <c r="A66" t="s">
        <v>2751</v>
      </c>
      <c r="B66" t="str">
        <f>_xlfn.REGEXREPLACE([3]query3!B66, "https://doi.org/", "")</f>
        <v>10.1017/s0144686x21000234</v>
      </c>
      <c r="C66">
        <v>37</v>
      </c>
      <c r="D66" s="4" t="s">
        <v>2727</v>
      </c>
      <c r="E66" s="4" t="str">
        <f>'[3]rio results'!M66</f>
        <v>10.1016/j.erss.2021.102255</v>
      </c>
      <c r="F66" s="4">
        <v>39</v>
      </c>
    </row>
    <row r="67" spans="1:6" x14ac:dyDescent="0.45">
      <c r="A67" t="s">
        <v>2737</v>
      </c>
      <c r="B67" t="str">
        <f>_xlfn.REGEXREPLACE([3]query3!B67, "https://doi.org/", "")</f>
        <v>10.1145/3531146.3534637</v>
      </c>
      <c r="C67">
        <v>37</v>
      </c>
      <c r="D67" s="4" t="s">
        <v>2752</v>
      </c>
      <c r="E67" s="4" t="str">
        <f>'[3]rio results'!M67</f>
        <v>10.1136/bmjopen-2020-048353</v>
      </c>
      <c r="F67" s="4">
        <v>39</v>
      </c>
    </row>
    <row r="68" spans="1:6" x14ac:dyDescent="0.45">
      <c r="A68" t="s">
        <v>2753</v>
      </c>
      <c r="B68" t="str">
        <f>_xlfn.REGEXREPLACE([3]query3!B68, "https://doi.org/", "")</f>
        <v>10.1111/joms.12863</v>
      </c>
      <c r="C68">
        <v>37</v>
      </c>
      <c r="D68" s="4" t="s">
        <v>2754</v>
      </c>
      <c r="E68" s="4" t="str">
        <f>'[3]rio results'!M68</f>
        <v>10.1177/1362361320910963</v>
      </c>
      <c r="F68" s="4">
        <v>39</v>
      </c>
    </row>
    <row r="69" spans="1:6" x14ac:dyDescent="0.45">
      <c r="A69" t="s">
        <v>2755</v>
      </c>
      <c r="B69" t="str">
        <f>_xlfn.REGEXREPLACE([3]query3!B69, "https://doi.org/", "")</f>
        <v>10.1016/j.worlddev.2022.106056</v>
      </c>
      <c r="C69">
        <v>36</v>
      </c>
      <c r="D69" s="4" t="s">
        <v>2703</v>
      </c>
      <c r="E69" s="4" t="str">
        <f>'[3]rio results'!M69</f>
        <v>10.1098/rstb.2022.0196</v>
      </c>
      <c r="F69" s="4">
        <v>38</v>
      </c>
    </row>
    <row r="70" spans="1:6" x14ac:dyDescent="0.45">
      <c r="A70" t="s">
        <v>2756</v>
      </c>
      <c r="B70" t="str">
        <f>_xlfn.REGEXREPLACE([3]query3!B70, "https://doi.org/", "")</f>
        <v>10.1136/tsaco-2020-000469</v>
      </c>
      <c r="C70">
        <v>34</v>
      </c>
      <c r="D70" s="4" t="s">
        <v>2757</v>
      </c>
      <c r="E70" s="4" t="str">
        <f>'[3]rio results'!M70</f>
        <v>10.2196/44357</v>
      </c>
      <c r="F70" s="4">
        <v>38</v>
      </c>
    </row>
    <row r="71" spans="1:6" x14ac:dyDescent="0.45">
      <c r="A71" t="s">
        <v>2758</v>
      </c>
      <c r="B71" t="str">
        <f>_xlfn.REGEXREPLACE([3]query3!B71, "https://doi.org/", "")</f>
        <v>10.1016/j.aap.2020.105540</v>
      </c>
      <c r="C71">
        <v>33</v>
      </c>
      <c r="D71" s="4" t="s">
        <v>2759</v>
      </c>
      <c r="E71" s="4" t="str">
        <f>'[3]rio results'!M71</f>
        <v>10.1111/1468-2427.12993</v>
      </c>
      <c r="F71" s="4">
        <v>38</v>
      </c>
    </row>
    <row r="72" spans="1:6" x14ac:dyDescent="0.45">
      <c r="A72" t="s">
        <v>2760</v>
      </c>
      <c r="B72" t="str">
        <f>_xlfn.REGEXREPLACE([3]query3!B72, "https://doi.org/", "")</f>
        <v>10.1007/s42438-023-00414-8</v>
      </c>
      <c r="C72">
        <v>33</v>
      </c>
      <c r="D72" s="4" t="s">
        <v>2761</v>
      </c>
      <c r="E72" s="4" t="str">
        <f>'[3]rio results'!M72</f>
        <v>10.4324/9780429286322</v>
      </c>
      <c r="F72" s="4">
        <v>38</v>
      </c>
    </row>
    <row r="73" spans="1:6" x14ac:dyDescent="0.45">
      <c r="A73" t="s">
        <v>2762</v>
      </c>
      <c r="B73" t="str">
        <f>_xlfn.REGEXREPLACE([3]query3!B73, "https://doi.org/", "")</f>
        <v>10.1002/jia2.25913</v>
      </c>
      <c r="C73">
        <v>32</v>
      </c>
      <c r="D73" s="4" t="s">
        <v>2720</v>
      </c>
      <c r="E73" s="4" t="str">
        <f>'[3]rio results'!M73</f>
        <v>10.1016/j.polgeo.2023.102904</v>
      </c>
      <c r="F73" s="4">
        <v>37</v>
      </c>
    </row>
    <row r="74" spans="1:6" x14ac:dyDescent="0.45">
      <c r="A74" t="s">
        <v>2763</v>
      </c>
      <c r="B74" t="str">
        <f>_xlfn.REGEXREPLACE([3]query3!B74, "https://doi.org/", "")</f>
        <v>10.2196/32452</v>
      </c>
      <c r="C74">
        <v>32</v>
      </c>
      <c r="D74" s="4" t="s">
        <v>2764</v>
      </c>
      <c r="E74" s="4" t="str">
        <f>'[3]rio results'!M74</f>
        <v>10.1016/j.drugpo.2022.103584</v>
      </c>
      <c r="F74" s="4">
        <v>37</v>
      </c>
    </row>
    <row r="75" spans="1:6" x14ac:dyDescent="0.45">
      <c r="A75" t="s">
        <v>2765</v>
      </c>
      <c r="B75" t="str">
        <f>_xlfn.REGEXREPLACE([3]query3!B75, "https://doi.org/", "")</f>
        <v>10.1017/cls.2020.2</v>
      </c>
      <c r="C75">
        <v>32</v>
      </c>
      <c r="D75" s="4" t="s">
        <v>2751</v>
      </c>
      <c r="E75" s="4" t="str">
        <f>'[3]rio results'!M75</f>
        <v>10.1017/S0144686X21000234</v>
      </c>
      <c r="F75" s="4">
        <v>36</v>
      </c>
    </row>
    <row r="76" spans="1:6" x14ac:dyDescent="0.45">
      <c r="A76" t="s">
        <v>2766</v>
      </c>
      <c r="B76" t="str">
        <f>_xlfn.REGEXREPLACE([3]query3!B76, "https://doi.org/", "")</f>
        <v>10.1080/07352166.2020.1773837</v>
      </c>
      <c r="C76">
        <v>30</v>
      </c>
      <c r="D76" s="4" t="s">
        <v>2767</v>
      </c>
      <c r="E76" s="4" t="str">
        <f>'[3]rio results'!M76</f>
        <v>10.1016/j.ocecoaman.2022.106097</v>
      </c>
      <c r="F76" s="4">
        <v>36</v>
      </c>
    </row>
    <row r="77" spans="1:6" x14ac:dyDescent="0.45">
      <c r="A77" t="s">
        <v>2768</v>
      </c>
      <c r="B77" t="str">
        <f>_xlfn.REGEXREPLACE([3]query3!B77, "https://doi.org/", "")</f>
        <v>10.1192/bjo.2020.3</v>
      </c>
      <c r="C77">
        <v>30</v>
      </c>
      <c r="D77" s="4" t="s">
        <v>2769</v>
      </c>
      <c r="E77" s="4" t="str">
        <f>'[3]rio results'!M77</f>
        <v>10.1007/s10433-020-00599-y</v>
      </c>
      <c r="F77" s="4">
        <v>36</v>
      </c>
    </row>
    <row r="78" spans="1:6" x14ac:dyDescent="0.45">
      <c r="A78" t="s">
        <v>2770</v>
      </c>
      <c r="B78" t="str">
        <f>_xlfn.REGEXREPLACE([3]query3!B78, "https://doi.org/", "")</f>
        <v>10.1016/j.jtrangeo.2021.103122</v>
      </c>
      <c r="C78">
        <v>30</v>
      </c>
      <c r="D78" s="4" t="s">
        <v>2771</v>
      </c>
      <c r="E78" s="4" t="str">
        <f>'[3]rio results'!M78</f>
        <v>10.17269/s41997-020-00452-w</v>
      </c>
      <c r="F78" s="4">
        <v>36</v>
      </c>
    </row>
    <row r="79" spans="1:6" x14ac:dyDescent="0.45">
      <c r="A79" t="s">
        <v>2772</v>
      </c>
      <c r="B79" t="str">
        <f>_xlfn.REGEXREPLACE([3]query3!B79, "https://doi.org/", "")</f>
        <v>10.1080/13876988.2021.1894074</v>
      </c>
      <c r="C79">
        <v>29</v>
      </c>
      <c r="D79" s="4" t="s">
        <v>2717</v>
      </c>
      <c r="E79" s="4" t="str">
        <f>'[3]rio results'!M79</f>
        <v>10.1371/journal.pmed.1003172</v>
      </c>
      <c r="F79" s="4">
        <v>36</v>
      </c>
    </row>
    <row r="80" spans="1:6" x14ac:dyDescent="0.45">
      <c r="A80" t="s">
        <v>2773</v>
      </c>
      <c r="B80" t="str">
        <f>_xlfn.REGEXREPLACE([3]query3!B80, "https://doi.org/", "")</f>
        <v>10.1371/journal.pone.0277769</v>
      </c>
      <c r="C80">
        <v>29</v>
      </c>
      <c r="D80" s="4" t="s">
        <v>2774</v>
      </c>
      <c r="E80" s="4" t="str">
        <f>'[3]rio results'!M80</f>
        <v>10.1186/s12939-021-01399-1</v>
      </c>
      <c r="F80" s="4">
        <v>35</v>
      </c>
    </row>
    <row r="81" spans="1:6" x14ac:dyDescent="0.45">
      <c r="A81" t="s">
        <v>2775</v>
      </c>
      <c r="B81" t="str">
        <f>_xlfn.REGEXREPLACE([3]query3!B81, "https://doi.org/", "")</f>
        <v>10.1186/s12889-021-12438-5</v>
      </c>
      <c r="C81">
        <v>28</v>
      </c>
      <c r="D81" s="4" t="s">
        <v>2776</v>
      </c>
      <c r="E81" s="4" t="str">
        <f>'[3]rio results'!M81</f>
        <v>10.1186/s41256-020-00147-2</v>
      </c>
      <c r="F81" s="4">
        <v>35</v>
      </c>
    </row>
    <row r="82" spans="1:6" x14ac:dyDescent="0.45">
      <c r="A82" t="s">
        <v>2777</v>
      </c>
      <c r="B82" t="str">
        <f>_xlfn.REGEXREPLACE([3]query3!B82, "https://doi.org/", "")</f>
        <v>10.1016/j.polgeo.2022.102670</v>
      </c>
      <c r="C82">
        <v>28</v>
      </c>
      <c r="D82" s="4" t="s">
        <v>2778</v>
      </c>
      <c r="E82" s="4" t="str">
        <f>'[3]rio results'!M82</f>
        <v>10.1007/s11077-019-09368-w</v>
      </c>
      <c r="F82" s="4">
        <v>35</v>
      </c>
    </row>
    <row r="83" spans="1:6" x14ac:dyDescent="0.45">
      <c r="A83" t="s">
        <v>2779</v>
      </c>
      <c r="B83" t="str">
        <f>_xlfn.REGEXREPLACE([3]query3!B83, "https://doi.org/", "")</f>
        <v>10.1086/720154</v>
      </c>
      <c r="C83">
        <v>28</v>
      </c>
      <c r="D83" s="4" t="s">
        <v>2780</v>
      </c>
      <c r="E83" s="4" t="str">
        <f>'[3]rio results'!M83</f>
        <v>10.1371/journal.pone.0233463</v>
      </c>
      <c r="F83" s="4">
        <v>35</v>
      </c>
    </row>
    <row r="84" spans="1:6" x14ac:dyDescent="0.45">
      <c r="A84" t="s">
        <v>2781</v>
      </c>
      <c r="B84" t="str">
        <f>_xlfn.REGEXREPLACE([3]query3!B84, "https://doi.org/", "")</f>
        <v>10.1080/17524032.2021.1981419</v>
      </c>
      <c r="C84">
        <v>27</v>
      </c>
      <c r="D84" s="4" t="s">
        <v>2782</v>
      </c>
      <c r="E84" s="4" t="str">
        <f>'[3]rio results'!M84</f>
        <v>10.1016/j.healthplace.2022.102844</v>
      </c>
      <c r="F84" s="4">
        <v>34</v>
      </c>
    </row>
    <row r="85" spans="1:6" x14ac:dyDescent="0.45">
      <c r="A85" t="s">
        <v>2783</v>
      </c>
      <c r="B85" t="str">
        <f>_xlfn.REGEXREPLACE([3]query3!B85, "https://doi.org/", "")</f>
        <v>10.1017/9781316875544</v>
      </c>
      <c r="C85">
        <v>27</v>
      </c>
      <c r="D85" s="4" t="s">
        <v>2784</v>
      </c>
      <c r="E85" s="4" t="str">
        <f>'[3]rio results'!M85</f>
        <v>10.1002/ajhb.23342</v>
      </c>
      <c r="F85" s="4">
        <v>34</v>
      </c>
    </row>
    <row r="86" spans="1:6" x14ac:dyDescent="0.45">
      <c r="A86" t="s">
        <v>2785</v>
      </c>
      <c r="B86" t="str">
        <f>_xlfn.REGEXREPLACE([3]query3!B86, "https://doi.org/", "")</f>
        <v>10.1177/10497323211002489</v>
      </c>
      <c r="C86">
        <v>26</v>
      </c>
      <c r="D86" s="4" t="s">
        <v>2786</v>
      </c>
      <c r="E86" s="4" t="str">
        <f>'[3]rio results'!M86</f>
        <v>10.1016/j.tree.2024.02.004</v>
      </c>
      <c r="F86" s="4">
        <v>33</v>
      </c>
    </row>
    <row r="87" spans="1:6" x14ac:dyDescent="0.45">
      <c r="A87" t="s">
        <v>2787</v>
      </c>
      <c r="B87" t="str">
        <f>_xlfn.REGEXREPLACE([3]query3!B87, "https://doi.org/", "")</f>
        <v>10.1007/s10488-020-01008-3</v>
      </c>
      <c r="C87">
        <v>26</v>
      </c>
      <c r="D87" s="4" t="s">
        <v>2758</v>
      </c>
      <c r="E87" s="4" t="str">
        <f>'[3]rio results'!M87</f>
        <v>10.1016/j.aap.2020.105540</v>
      </c>
      <c r="F87" s="4">
        <v>33</v>
      </c>
    </row>
    <row r="88" spans="1:6" x14ac:dyDescent="0.45">
      <c r="A88" t="s">
        <v>2788</v>
      </c>
      <c r="B88" t="str">
        <f>_xlfn.REGEXREPLACE([3]query3!B88, "https://doi.org/", "")</f>
        <v>10.1002/pan3.10090</v>
      </c>
      <c r="C88">
        <v>26</v>
      </c>
      <c r="D88" s="4" t="s">
        <v>2789</v>
      </c>
      <c r="E88" s="4" t="str">
        <f>'[3]rio results'!M88</f>
        <v>10.1016/j.envsci.2024.103710</v>
      </c>
      <c r="F88" s="4">
        <v>32</v>
      </c>
    </row>
    <row r="89" spans="1:6" x14ac:dyDescent="0.45">
      <c r="A89" t="s">
        <v>2790</v>
      </c>
      <c r="B89" t="str">
        <f>_xlfn.REGEXREPLACE([3]query3!B89, "https://doi.org/", "")</f>
        <v>10.26828/cannabis.2020.02.003</v>
      </c>
      <c r="C89">
        <v>26</v>
      </c>
      <c r="D89" s="4" t="s">
        <v>2753</v>
      </c>
      <c r="E89" s="4" t="str">
        <f>'[3]rio results'!M89</f>
        <v>10.1111/joms.12863</v>
      </c>
      <c r="F89" s="4">
        <v>32</v>
      </c>
    </row>
    <row r="90" spans="1:6" x14ac:dyDescent="0.45">
      <c r="A90" t="s">
        <v>2791</v>
      </c>
      <c r="B90" t="str">
        <f>_xlfn.REGEXREPLACE([3]query3!B90, "https://doi.org/", "")</f>
        <v>10.1016/j.cub.2022.07.067</v>
      </c>
      <c r="C90">
        <v>26</v>
      </c>
      <c r="D90" s="4" t="s">
        <v>2743</v>
      </c>
      <c r="E90" s="4" t="str">
        <f>'[3]rio results'!M90</f>
        <v>10.1126/sciadv.abn0929</v>
      </c>
      <c r="F90" s="4">
        <v>32</v>
      </c>
    </row>
    <row r="91" spans="1:6" x14ac:dyDescent="0.45">
      <c r="A91" t="s">
        <v>2792</v>
      </c>
      <c r="B91" t="str">
        <f>_xlfn.REGEXREPLACE([3]query3!B91, "https://doi.org/", "")</f>
        <v>10.1017/9781316875544</v>
      </c>
      <c r="C91">
        <v>25</v>
      </c>
      <c r="D91" s="4" t="s">
        <v>2716</v>
      </c>
      <c r="E91" s="4" t="str">
        <f>'[3]rio results'!M91</f>
        <v>10.1126/science.adn1477</v>
      </c>
      <c r="F91" s="4">
        <v>31</v>
      </c>
    </row>
    <row r="92" spans="1:6" x14ac:dyDescent="0.45">
      <c r="A92" t="s">
        <v>2793</v>
      </c>
      <c r="B92" t="str">
        <f>_xlfn.REGEXREPLACE([3]query3!B92, "https://doi.org/", "")</f>
        <v>10.3390/su12177016</v>
      </c>
      <c r="C92">
        <v>25</v>
      </c>
      <c r="D92" s="4" t="s">
        <v>2724</v>
      </c>
      <c r="E92" s="4" t="str">
        <f>'[3]rio results'!M92</f>
        <v>10.3389/fmed.2024.1495582</v>
      </c>
      <c r="F92" s="4">
        <v>31</v>
      </c>
    </row>
    <row r="93" spans="1:6" x14ac:dyDescent="0.45">
      <c r="A93" t="s">
        <v>2794</v>
      </c>
      <c r="B93" t="str">
        <f>_xlfn.REGEXREPLACE([3]query3!B93, "https://doi.org/", "")</f>
        <v>10.1016/j.resourpol.2020.101869</v>
      </c>
      <c r="C93">
        <v>25</v>
      </c>
      <c r="D93" s="4" t="s">
        <v>2795</v>
      </c>
      <c r="E93" s="4" t="str">
        <f>'[3]rio results'!M93</f>
        <v>10.1371/journal.pone.0225783</v>
      </c>
      <c r="F93" s="4">
        <v>31</v>
      </c>
    </row>
    <row r="94" spans="1:6" x14ac:dyDescent="0.45">
      <c r="A94" t="s">
        <v>2796</v>
      </c>
      <c r="B94" t="str">
        <f>_xlfn.REGEXREPLACE([3]query3!B94, "https://doi.org/", "")</f>
        <v>10.1080/25741292.2024.2353929</v>
      </c>
      <c r="C94">
        <v>25</v>
      </c>
      <c r="D94" s="4" t="s">
        <v>2742</v>
      </c>
      <c r="E94" s="4" t="str">
        <f>'[3]rio results'!M94</f>
        <v>10.1177/00139165211065008</v>
      </c>
      <c r="F94" s="4">
        <v>30</v>
      </c>
    </row>
    <row r="95" spans="1:6" x14ac:dyDescent="0.45">
      <c r="A95" t="s">
        <v>2797</v>
      </c>
      <c r="B95" t="str">
        <f>_xlfn.REGEXREPLACE([3]query3!B95, "https://doi.org/", "")</f>
        <v>10.1017/s0008423920000207</v>
      </c>
      <c r="C95">
        <v>24</v>
      </c>
      <c r="D95" s="4" t="s">
        <v>2798</v>
      </c>
      <c r="E95" s="4" t="str">
        <f>'[3]rio results'!M95</f>
        <v>10.1080/17524032.2021.1981419</v>
      </c>
      <c r="F95" s="4">
        <v>30</v>
      </c>
    </row>
    <row r="96" spans="1:6" x14ac:dyDescent="0.45">
      <c r="A96" t="s">
        <v>2799</v>
      </c>
      <c r="B96" t="str">
        <f>_xlfn.REGEXREPLACE([3]query3!B96, "https://doi.org/", "")</f>
        <v>10.1002/epa2.1142</v>
      </c>
      <c r="C96">
        <v>24</v>
      </c>
      <c r="D96" s="4" t="s">
        <v>2734</v>
      </c>
      <c r="E96" s="4" t="str">
        <f>'[3]rio results'!M96</f>
        <v>10.1016/j.cities.2020.103017</v>
      </c>
      <c r="F96" s="4">
        <v>30</v>
      </c>
    </row>
    <row r="97" spans="1:6" x14ac:dyDescent="0.45">
      <c r="A97" t="s">
        <v>2800</v>
      </c>
      <c r="B97" t="str">
        <f>_xlfn.REGEXREPLACE([3]query3!B97, "https://doi.org/", "")</f>
        <v>10.1002/smj.3471</v>
      </c>
      <c r="C97">
        <v>24</v>
      </c>
      <c r="D97" s="4" t="s">
        <v>2801</v>
      </c>
      <c r="E97" s="4" t="str">
        <f>'[3]rio results'!M97</f>
        <v>10.2105/AJPH.2020.305768</v>
      </c>
      <c r="F97" s="4">
        <v>30</v>
      </c>
    </row>
    <row r="98" spans="1:6" x14ac:dyDescent="0.45">
      <c r="A98" t="s">
        <v>2802</v>
      </c>
      <c r="B98" t="str">
        <f>_xlfn.REGEXREPLACE([3]query3!B98, "https://doi.org/", "")</f>
        <v>10.1186/s12992-022-00802-y</v>
      </c>
      <c r="C98">
        <v>24</v>
      </c>
      <c r="D98" s="4" t="s">
        <v>2803</v>
      </c>
      <c r="E98" s="4" t="str">
        <f>'[3]rio results'!M98</f>
        <v>10.1080/09687599.2019.1649127</v>
      </c>
      <c r="F98" s="4">
        <v>30</v>
      </c>
    </row>
    <row r="99" spans="1:6" x14ac:dyDescent="0.45">
      <c r="A99" t="s">
        <v>2804</v>
      </c>
      <c r="B99" t="str">
        <f>_xlfn.REGEXREPLACE([3]query3!B99, "https://doi.org/", "")</f>
        <v>10.1016/j.envsci.2021.10.012</v>
      </c>
      <c r="C99">
        <v>24</v>
      </c>
      <c r="D99" s="4" t="s">
        <v>2729</v>
      </c>
      <c r="E99" s="4" t="str">
        <f>'[3]rio results'!M99</f>
        <v>10.1080/03601277.2021.1927484</v>
      </c>
      <c r="F99" s="4">
        <v>29</v>
      </c>
    </row>
    <row r="100" spans="1:6" x14ac:dyDescent="0.45">
      <c r="A100" t="s">
        <v>2805</v>
      </c>
      <c r="B100" t="str">
        <f>_xlfn.REGEXREPLACE([3]query3!B100, "https://doi.org/", "")</f>
        <v>10.1111/ropr.12448</v>
      </c>
      <c r="C100">
        <v>24</v>
      </c>
      <c r="D100" s="4" t="s">
        <v>2806</v>
      </c>
      <c r="E100" s="4" t="str">
        <f>'[3]rio results'!M100</f>
        <v>10.1080/02673037.2019.1687854</v>
      </c>
      <c r="F100" s="4">
        <v>29</v>
      </c>
    </row>
    <row r="101" spans="1:6" x14ac:dyDescent="0.45">
      <c r="A101" t="s">
        <v>2807</v>
      </c>
      <c r="B101" t="str">
        <f>_xlfn.REGEXREPLACE([3]query3!B101, "https://doi.org/", "")</f>
        <v>10.1108/ils-08-2019-0086</v>
      </c>
      <c r="C101">
        <v>23</v>
      </c>
      <c r="D101" s="4" t="s">
        <v>2808</v>
      </c>
      <c r="E101" s="4" t="str">
        <f>'[3]rio results'!M101</f>
        <v>10.1080/02723638.2022.2159651</v>
      </c>
      <c r="F101" s="4">
        <v>28</v>
      </c>
    </row>
    <row r="102" spans="1:6" x14ac:dyDescent="0.45">
      <c r="A102" t="s">
        <v>2809</v>
      </c>
      <c r="B102" t="str">
        <f>_xlfn.REGEXREPLACE([3]query3!B102, "https://doi.org/", "")</f>
        <v>10.1139/cjfr-2024-0092</v>
      </c>
      <c r="C102">
        <v>23</v>
      </c>
      <c r="D102" s="4" t="s">
        <v>2810</v>
      </c>
      <c r="E102" s="4" t="str">
        <f>'[3]rio results'!M102</f>
        <v>10.1186/s12954-022-00629-1</v>
      </c>
      <c r="F102" s="4">
        <v>27</v>
      </c>
    </row>
    <row r="103" spans="1:6" x14ac:dyDescent="0.45">
      <c r="A103" t="s">
        <v>2811</v>
      </c>
      <c r="B103" t="str">
        <f>_xlfn.REGEXREPLACE([3]query3!B103, "https://doi.org/", "")</f>
        <v>10.1007/s10903-022-01422-9</v>
      </c>
      <c r="C103">
        <v>23</v>
      </c>
      <c r="D103" s="4" t="s">
        <v>2812</v>
      </c>
      <c r="E103" s="4">
        <f>'[3]rio results'!M103</f>
        <v>0</v>
      </c>
      <c r="F103" s="4">
        <v>27</v>
      </c>
    </row>
    <row r="104" spans="1:6" x14ac:dyDescent="0.45">
      <c r="A104" t="s">
        <v>2813</v>
      </c>
      <c r="B104" t="str">
        <f>_xlfn.REGEXREPLACE([3]query3!B104, "https://doi.org/", "")</f>
        <v>10.3390/fi14060161</v>
      </c>
      <c r="C104">
        <v>23</v>
      </c>
      <c r="D104" s="4" t="s">
        <v>2814</v>
      </c>
      <c r="E104" s="4" t="str">
        <f>'[3]rio results'!M104</f>
        <v>10.1371/journal.pone.0277769</v>
      </c>
      <c r="F104" s="4">
        <v>26</v>
      </c>
    </row>
    <row r="105" spans="1:6" x14ac:dyDescent="0.45">
      <c r="A105" t="s">
        <v>2815</v>
      </c>
      <c r="B105" t="str">
        <f>_xlfn.REGEXREPLACE([3]query3!B105, "https://doi.org/", "")</f>
        <v>10.1139/facets-2020-0080</v>
      </c>
      <c r="C105">
        <v>22</v>
      </c>
      <c r="D105" s="4" t="s">
        <v>2816</v>
      </c>
      <c r="E105" s="4" t="str">
        <f>'[3]rio results'!M105</f>
        <v>10.1016/j.drugpo.2021.103518</v>
      </c>
      <c r="F105" s="4">
        <v>26</v>
      </c>
    </row>
    <row r="106" spans="1:6" x14ac:dyDescent="0.45">
      <c r="A106" t="s">
        <v>2817</v>
      </c>
      <c r="B106" t="str">
        <f>_xlfn.REGEXREPLACE([3]query3!B106, "https://doi.org/", "")</f>
        <v>10.1016/j.resourpol.2021.102152</v>
      </c>
      <c r="C106">
        <v>21</v>
      </c>
      <c r="D106" s="4" t="s">
        <v>2818</v>
      </c>
      <c r="E106" s="4" t="str">
        <f>'[3]rio results'!M106</f>
        <v>10.1177/1471301220927230</v>
      </c>
      <c r="F106" s="4">
        <v>26</v>
      </c>
    </row>
    <row r="107" spans="1:6" x14ac:dyDescent="0.45">
      <c r="A107" t="s">
        <v>2819</v>
      </c>
      <c r="B107" t="str">
        <f>_xlfn.REGEXREPLACE([3]query3!B107, "https://doi.org/", "")</f>
        <v>10.1080/26395916.2021.1995046</v>
      </c>
      <c r="C107">
        <v>21</v>
      </c>
      <c r="D107" s="4" t="s">
        <v>2820</v>
      </c>
      <c r="E107" s="4" t="str">
        <f>'[3]rio results'!M107</f>
        <v>10.9778/cmajo.20190106</v>
      </c>
      <c r="F107" s="4">
        <v>26</v>
      </c>
    </row>
    <row r="108" spans="1:6" x14ac:dyDescent="0.45">
      <c r="A108" t="s">
        <v>2821</v>
      </c>
      <c r="B108" t="str">
        <f>_xlfn.REGEXREPLACE([3]query3!B108, "https://doi.org/", "")</f>
        <v>10.3390/philosophies6010014</v>
      </c>
      <c r="C108">
        <v>21</v>
      </c>
      <c r="D108" s="4" t="s">
        <v>2822</v>
      </c>
      <c r="E108" s="4" t="str">
        <f>'[3]rio results'!M108</f>
        <v>10.1007/s10551-023-05517-7</v>
      </c>
      <c r="F108" s="4">
        <v>25</v>
      </c>
    </row>
    <row r="109" spans="1:6" x14ac:dyDescent="0.45">
      <c r="A109" t="s">
        <v>2823</v>
      </c>
      <c r="B109" t="str">
        <f>_xlfn.REGEXREPLACE([3]query3!B109, "https://doi.org/", "")</f>
        <v>10.1136/bmjopen-2020-047597</v>
      </c>
      <c r="C109">
        <v>21</v>
      </c>
      <c r="D109" s="4" t="s">
        <v>2824</v>
      </c>
      <c r="E109" s="4" t="str">
        <f>'[3]rio results'!M109</f>
        <v>10.1503/cmaj.231372</v>
      </c>
      <c r="F109" s="4">
        <v>25</v>
      </c>
    </row>
    <row r="110" spans="1:6" x14ac:dyDescent="0.45">
      <c r="A110" t="s">
        <v>2825</v>
      </c>
      <c r="B110" t="str">
        <f>_xlfn.REGEXREPLACE([3]query3!B110, "https://doi.org/", "")</f>
        <v>10.1016/j.habitatint.2023.102812</v>
      </c>
      <c r="C110">
        <v>21</v>
      </c>
      <c r="D110" s="4" t="s">
        <v>2826</v>
      </c>
      <c r="E110" s="4" t="str">
        <f>'[3]rio results'!M110</f>
        <v>10.1080/15265161.2023.2232748</v>
      </c>
      <c r="F110" s="4">
        <v>25</v>
      </c>
    </row>
    <row r="111" spans="1:6" x14ac:dyDescent="0.45">
      <c r="A111" t="s">
        <v>2827</v>
      </c>
      <c r="B111" t="str">
        <f>_xlfn.REGEXREPLACE([3]query3!B111, "https://doi.org/", "")</f>
        <v>10.1016/j.envsci.2023.02.023</v>
      </c>
      <c r="C111">
        <v>21</v>
      </c>
      <c r="D111" s="4" t="s">
        <v>2828</v>
      </c>
      <c r="E111" s="4" t="str">
        <f>'[3]rio results'!M111</f>
        <v>10.1177/14713012221111014</v>
      </c>
      <c r="F111" s="4">
        <v>25</v>
      </c>
    </row>
    <row r="112" spans="1:6" x14ac:dyDescent="0.45">
      <c r="A112" t="s">
        <v>2829</v>
      </c>
      <c r="B112" t="str">
        <f>_xlfn.REGEXREPLACE([3]query3!B112, "https://doi.org/", "")</f>
        <v>10.1038/s41598-022-22630-1</v>
      </c>
      <c r="C112">
        <v>21</v>
      </c>
      <c r="D112" s="4" t="s">
        <v>2830</v>
      </c>
      <c r="E112" s="4" t="str">
        <f>'[3]rio results'!M112</f>
        <v>10.1002/jia2.25913</v>
      </c>
      <c r="F112" s="4">
        <v>25</v>
      </c>
    </row>
    <row r="113" spans="1:6" x14ac:dyDescent="0.45">
      <c r="A113" t="s">
        <v>2831</v>
      </c>
      <c r="B113" t="str">
        <f>_xlfn.REGEXREPLACE([3]query3!B113, "https://doi.org/", "")</f>
        <v>10.1177/0952076720977588</v>
      </c>
      <c r="C113">
        <v>20</v>
      </c>
      <c r="D113" s="4" t="s">
        <v>2763</v>
      </c>
      <c r="E113" s="4" t="str">
        <f>'[3]rio results'!M113</f>
        <v>10.2196/32452</v>
      </c>
      <c r="F113" s="4">
        <v>25</v>
      </c>
    </row>
    <row r="114" spans="1:6" x14ac:dyDescent="0.45">
      <c r="A114" t="s">
        <v>2832</v>
      </c>
      <c r="B114" t="str">
        <f>_xlfn.REGEXREPLACE([3]query3!B114, "https://doi.org/", "")</f>
        <v>10.1093/isq/sqac048</v>
      </c>
      <c r="C114">
        <v>20</v>
      </c>
      <c r="D114" s="4" t="s">
        <v>2833</v>
      </c>
      <c r="E114" s="4" t="str">
        <f>'[3]rio results'!M114</f>
        <v>10.1016/j.envsci.2021.10.012</v>
      </c>
      <c r="F114" s="4">
        <v>25</v>
      </c>
    </row>
    <row r="115" spans="1:6" x14ac:dyDescent="0.45">
      <c r="A115" t="s">
        <v>2834</v>
      </c>
      <c r="B115" t="str">
        <f>_xlfn.REGEXREPLACE([3]query3!B115, "https://doi.org/", "")</f>
        <v>10.1017/s0021911820002314</v>
      </c>
      <c r="C115">
        <v>20</v>
      </c>
      <c r="D115" s="4" t="s">
        <v>2835</v>
      </c>
      <c r="E115" s="4" t="str">
        <f>'[3]rio results'!M115</f>
        <v>10.1016/j.ssmph.2021.100988</v>
      </c>
      <c r="F115" s="4">
        <v>25</v>
      </c>
    </row>
    <row r="116" spans="1:6" x14ac:dyDescent="0.45">
      <c r="A116" t="s">
        <v>2836</v>
      </c>
      <c r="B116" t="str">
        <f>_xlfn.REGEXREPLACE([3]query3!B116, "https://doi.org/", "")</f>
        <v>10.1016/j.wsif.2023.102781</v>
      </c>
      <c r="C116">
        <v>20</v>
      </c>
      <c r="D116" s="4" t="s">
        <v>2837</v>
      </c>
      <c r="E116" s="4" t="str">
        <f>'[3]rio results'!M116</f>
        <v>10.1177/10497323211002489</v>
      </c>
      <c r="F116" s="4">
        <v>25</v>
      </c>
    </row>
    <row r="117" spans="1:6" x14ac:dyDescent="0.45">
      <c r="A117" t="s">
        <v>2838</v>
      </c>
      <c r="B117" t="str">
        <f>_xlfn.REGEXREPLACE([3]query3!B117, "https://doi.org/", "")</f>
        <v>10.1002/pan3.10211</v>
      </c>
      <c r="C117">
        <v>20</v>
      </c>
      <c r="D117" s="4" t="s">
        <v>2839</v>
      </c>
      <c r="E117" s="4" t="str">
        <f>'[3]rio results'!M117</f>
        <v>10.1080/09540121.2020.1737640</v>
      </c>
      <c r="F117" s="4">
        <v>25</v>
      </c>
    </row>
    <row r="118" spans="1:6" x14ac:dyDescent="0.45">
      <c r="A118" t="s">
        <v>2840</v>
      </c>
      <c r="B118" t="str">
        <f>_xlfn.REGEXREPLACE([3]query3!B118, "https://doi.org/", "")</f>
        <v>10.1080/26892618.2021.1955806</v>
      </c>
      <c r="C118">
        <v>19</v>
      </c>
      <c r="D118" s="4" t="s">
        <v>2756</v>
      </c>
      <c r="E118" s="4" t="str">
        <f>'[3]rio results'!M118</f>
        <v>10.1136/tsaco-2020-000469</v>
      </c>
      <c r="F118" s="4">
        <v>25</v>
      </c>
    </row>
    <row r="119" spans="1:6" x14ac:dyDescent="0.45">
      <c r="A119" t="s">
        <v>2841</v>
      </c>
      <c r="B119" t="str">
        <f>_xlfn.REGEXREPLACE([3]query3!B119, "https://doi.org/", "")</f>
        <v>10.1017/dap.2021.33</v>
      </c>
      <c r="C119">
        <v>19</v>
      </c>
      <c r="D119" s="4" t="s">
        <v>2842</v>
      </c>
      <c r="E119" s="4" t="str">
        <f>'[3]rio results'!M119</f>
        <v>10.1176/APPI.PS.202000029</v>
      </c>
      <c r="F119" s="4">
        <v>25</v>
      </c>
    </row>
    <row r="120" spans="1:6" x14ac:dyDescent="0.45">
      <c r="A120" t="s">
        <v>2843</v>
      </c>
      <c r="B120" t="str">
        <f>_xlfn.REGEXREPLACE([3]query3!B120, "https://doi.org/", "")</f>
        <v>10.1186/s12939-022-01679-4</v>
      </c>
      <c r="C120">
        <v>19</v>
      </c>
      <c r="D120" s="4" t="s">
        <v>2760</v>
      </c>
      <c r="E120" s="4" t="str">
        <f>'[3]rio results'!M120</f>
        <v>10.1007/s42438-023-00414-8</v>
      </c>
      <c r="F120" s="4">
        <v>24</v>
      </c>
    </row>
    <row r="121" spans="1:6" x14ac:dyDescent="0.45">
      <c r="A121" t="s">
        <v>2844</v>
      </c>
      <c r="B121" t="str">
        <f>_xlfn.REGEXREPLACE([3]query3!B121, "https://doi.org/", "")</f>
        <v>10.1080/08111146.2020.1768841</v>
      </c>
      <c r="C121">
        <v>19</v>
      </c>
      <c r="D121" s="4" t="s">
        <v>2845</v>
      </c>
      <c r="E121" s="4" t="str">
        <f>'[3]rio results'!M121</f>
        <v>10.1093/polsoc/puad026</v>
      </c>
      <c r="F121" s="4">
        <v>24</v>
      </c>
    </row>
    <row r="122" spans="1:6" x14ac:dyDescent="0.45">
      <c r="A122" t="s">
        <v>2846</v>
      </c>
      <c r="B122" t="str">
        <f>_xlfn.REGEXREPLACE([3]query3!B122, "https://doi.org/", "")</f>
        <v>10.1093/geront/gnab115</v>
      </c>
      <c r="C122">
        <v>19</v>
      </c>
      <c r="D122" s="4" t="s">
        <v>2775</v>
      </c>
      <c r="E122" s="4" t="str">
        <f>'[3]rio results'!M122</f>
        <v>10.1186/s12889-021-12438-5</v>
      </c>
      <c r="F122" s="4">
        <v>24</v>
      </c>
    </row>
    <row r="123" spans="1:6" x14ac:dyDescent="0.45">
      <c r="A123" t="s">
        <v>2847</v>
      </c>
      <c r="B123" t="str">
        <f>_xlfn.REGEXREPLACE([3]query3!B123, "https://doi.org/", "")</f>
        <v>10.1016/j.jcrimjus.2022.101881</v>
      </c>
      <c r="C123">
        <v>19</v>
      </c>
      <c r="D123" s="4" t="s">
        <v>2791</v>
      </c>
      <c r="E123" s="4" t="str">
        <f>'[3]rio results'!M123</f>
        <v>10.1016/j.cub.2022.07.067</v>
      </c>
      <c r="F123" s="4">
        <v>24</v>
      </c>
    </row>
    <row r="124" spans="1:6" x14ac:dyDescent="0.45">
      <c r="A124" t="s">
        <v>2848</v>
      </c>
      <c r="B124" t="str">
        <f>_xlfn.REGEXREPLACE([3]query3!B124, "https://doi.org/", "")</f>
        <v>10.37016/mr-2020-82</v>
      </c>
      <c r="C124">
        <v>19</v>
      </c>
      <c r="D124" s="4" t="s">
        <v>2777</v>
      </c>
      <c r="E124" s="4" t="str">
        <f>'[3]rio results'!M124</f>
        <v>10.1016/j.polgeo.2022.102670</v>
      </c>
      <c r="F124" s="4">
        <v>24</v>
      </c>
    </row>
    <row r="125" spans="1:6" x14ac:dyDescent="0.45">
      <c r="A125" t="s">
        <v>2849</v>
      </c>
      <c r="B125" t="str">
        <f>_xlfn.REGEXREPLACE([3]query3!B125, "https://doi.org/", "")</f>
        <v>10.1017/9781107323728</v>
      </c>
      <c r="C125">
        <v>19</v>
      </c>
      <c r="D125" s="4" t="s">
        <v>2779</v>
      </c>
      <c r="E125" s="4" t="str">
        <f>'[3]rio results'!M125</f>
        <v>10.1086/720154</v>
      </c>
      <c r="F125" s="4">
        <v>24</v>
      </c>
    </row>
    <row r="126" spans="1:6" x14ac:dyDescent="0.45">
      <c r="A126" t="s">
        <v>2850</v>
      </c>
      <c r="B126" t="str">
        <f>_xlfn.REGEXREPLACE([3]query3!B126, "https://doi.org/", "")</f>
        <v>10.1111/1365-2664.14239</v>
      </c>
      <c r="C126">
        <v>19</v>
      </c>
      <c r="D126" s="4" t="s">
        <v>2851</v>
      </c>
      <c r="E126" s="4" t="str">
        <f>'[3]rio results'!M126</f>
        <v>10.1080/19361653.2020.1758275</v>
      </c>
      <c r="F126" s="4">
        <v>24</v>
      </c>
    </row>
    <row r="127" spans="1:6" x14ac:dyDescent="0.45">
      <c r="A127" t="s">
        <v>2852</v>
      </c>
      <c r="B127" t="str">
        <f>_xlfn.REGEXREPLACE([3]query3!B127, "https://doi.org/", "")</f>
        <v>10.1139/facets-2021-0133</v>
      </c>
      <c r="C127">
        <v>19</v>
      </c>
      <c r="D127" s="4" t="s">
        <v>2853</v>
      </c>
      <c r="E127" s="4" t="str">
        <f>'[3]rio results'!M127</f>
        <v>10.3390/ijerph18199999</v>
      </c>
      <c r="F127" s="4">
        <v>24</v>
      </c>
    </row>
    <row r="128" spans="1:6" x14ac:dyDescent="0.45">
      <c r="A128" t="s">
        <v>2854</v>
      </c>
      <c r="B128" t="str">
        <f>_xlfn.REGEXREPLACE([3]query3!B128, "https://doi.org/", "")</f>
        <v>10.1108/jaar-04-2022-0086</v>
      </c>
      <c r="C128">
        <v>19</v>
      </c>
      <c r="D128" s="4" t="s">
        <v>2746</v>
      </c>
      <c r="E128" s="4" t="str">
        <f>'[3]rio results'!M128</f>
        <v>10.1186/s12954-020-00454-4</v>
      </c>
      <c r="F128" s="4">
        <v>24</v>
      </c>
    </row>
    <row r="129" spans="1:6" x14ac:dyDescent="0.45">
      <c r="A129" t="s">
        <v>2855</v>
      </c>
      <c r="B129" t="str">
        <f>_xlfn.REGEXREPLACE([3]query3!B129, "https://doi.org/", "")</f>
        <v>10.1093/geront/gnad088</v>
      </c>
      <c r="C129">
        <v>18</v>
      </c>
      <c r="D129" s="4" t="s">
        <v>2856</v>
      </c>
      <c r="E129" s="4" t="str">
        <f>'[3]rio results'!M129</f>
        <v>10.1111/1467-8500.12630</v>
      </c>
      <c r="F129" s="4">
        <v>23</v>
      </c>
    </row>
    <row r="130" spans="1:6" x14ac:dyDescent="0.45">
      <c r="A130" t="s">
        <v>2857</v>
      </c>
      <c r="B130" t="str">
        <f>_xlfn.REGEXREPLACE([3]query3!B130, "https://doi.org/", "")</f>
        <v>10.1016/j.enpol.2021.112532</v>
      </c>
      <c r="C130">
        <v>18</v>
      </c>
      <c r="D130" s="4" t="s">
        <v>2858</v>
      </c>
      <c r="E130" s="4" t="str">
        <f>'[3]rio results'!M130</f>
        <v>10.1093/geront/gnac004</v>
      </c>
      <c r="F130" s="4">
        <v>23</v>
      </c>
    </row>
    <row r="131" spans="1:6" x14ac:dyDescent="0.45">
      <c r="A131" t="s">
        <v>2859</v>
      </c>
      <c r="B131" t="str">
        <f>_xlfn.REGEXREPLACE([3]query3!B131, "https://doi.org/", "")</f>
        <v>10.1111/hsc.13871</v>
      </c>
      <c r="C131">
        <v>18</v>
      </c>
      <c r="D131" s="4" t="s">
        <v>2860</v>
      </c>
      <c r="E131" s="4" t="str">
        <f>'[3]rio results'!M131</f>
        <v>10.1002/epa2.1142</v>
      </c>
      <c r="F131" s="4">
        <v>23</v>
      </c>
    </row>
    <row r="132" spans="1:6" x14ac:dyDescent="0.45">
      <c r="A132" t="s">
        <v>2861</v>
      </c>
      <c r="B132" t="str">
        <f>_xlfn.REGEXREPLACE([3]query3!B132, "https://doi.org/", "")</f>
        <v>10.1007/s11292-021-09495-6</v>
      </c>
      <c r="C132">
        <v>18</v>
      </c>
      <c r="D132" s="4" t="s">
        <v>2847</v>
      </c>
      <c r="E132" s="4" t="str">
        <f>'[3]rio results'!M132</f>
        <v>10.1016/j.jcrimjus.2022.101881</v>
      </c>
      <c r="F132" s="4">
        <v>23</v>
      </c>
    </row>
    <row r="133" spans="1:6" x14ac:dyDescent="0.45">
      <c r="A133" t="s">
        <v>2862</v>
      </c>
      <c r="B133" t="str">
        <f>_xlfn.REGEXREPLACE([3]query3!B133, "https://doi.org/", "")</f>
        <v>10.1002/bse.3060</v>
      </c>
      <c r="C133">
        <v>18</v>
      </c>
      <c r="D133" s="4" t="s">
        <v>2863</v>
      </c>
      <c r="E133" s="4" t="str">
        <f>'[3]rio results'!M133</f>
        <v>10.1002/pan3.10090</v>
      </c>
      <c r="F133" s="4">
        <v>23</v>
      </c>
    </row>
    <row r="134" spans="1:6" x14ac:dyDescent="0.45">
      <c r="A134" t="s">
        <v>2864</v>
      </c>
      <c r="B134" t="str">
        <f>_xlfn.REGEXREPLACE([3]query3!B134, "https://doi.org/", "")</f>
        <v>10.3390/su141811600</v>
      </c>
      <c r="C134">
        <v>17</v>
      </c>
      <c r="D134" s="4" t="s">
        <v>2841</v>
      </c>
      <c r="E134" s="4" t="str">
        <f>'[3]rio results'!M134</f>
        <v>10.1017/dap.2021.33</v>
      </c>
      <c r="F134" s="4">
        <v>22</v>
      </c>
    </row>
    <row r="135" spans="1:6" x14ac:dyDescent="0.45">
      <c r="A135" t="s">
        <v>2865</v>
      </c>
      <c r="B135" t="str">
        <f>_xlfn.REGEXREPLACE([3]query3!B135, "https://doi.org/", "")</f>
        <v>10.1186/s12888-021-03142-0</v>
      </c>
      <c r="C135">
        <v>17</v>
      </c>
      <c r="D135" s="4" t="s">
        <v>2805</v>
      </c>
      <c r="E135" s="4" t="str">
        <f>'[3]rio results'!M135</f>
        <v>10.1111/ropr.12448</v>
      </c>
      <c r="F135" s="4">
        <v>22</v>
      </c>
    </row>
    <row r="136" spans="1:6" x14ac:dyDescent="0.45">
      <c r="A136" t="s">
        <v>2866</v>
      </c>
      <c r="B136" t="str">
        <f>_xlfn.REGEXREPLACE([3]query3!B136, "https://doi.org/", "")</f>
        <v>10.1177/0706743720902616</v>
      </c>
      <c r="C136">
        <v>17</v>
      </c>
      <c r="D136" s="4" t="s">
        <v>2867</v>
      </c>
      <c r="E136" s="4" t="str">
        <f>'[3]rio results'!M136</f>
        <v>10.1016/j.jtrangeo.2021.103122</v>
      </c>
      <c r="F136" s="4">
        <v>22</v>
      </c>
    </row>
    <row r="137" spans="1:6" x14ac:dyDescent="0.45">
      <c r="A137" t="s">
        <v>2868</v>
      </c>
      <c r="B137" t="str">
        <f>_xlfn.REGEXREPLACE([3]query3!B137, "https://doi.org/", "")</f>
        <v>10.3389/fnut.2022.928837</v>
      </c>
      <c r="C137">
        <v>17</v>
      </c>
      <c r="D137" s="4" t="s">
        <v>2869</v>
      </c>
      <c r="E137" s="4" t="str">
        <f>'[3]rio results'!M137</f>
        <v>10.1007/978-3-030-64171-9</v>
      </c>
      <c r="F137" s="4">
        <v>22</v>
      </c>
    </row>
    <row r="138" spans="1:6" x14ac:dyDescent="0.45">
      <c r="A138" t="s">
        <v>2870</v>
      </c>
      <c r="B138" t="str">
        <f>_xlfn.REGEXREPLACE([3]query3!B138, "https://doi.org/", "")</f>
        <v>10.1093/isr/viac047</v>
      </c>
      <c r="C138">
        <v>17</v>
      </c>
      <c r="D138" s="4" t="s">
        <v>2819</v>
      </c>
      <c r="E138" s="4" t="str">
        <f>'[3]rio results'!M138</f>
        <v>10.1080/26395916.2021.1995046</v>
      </c>
      <c r="F138" s="4">
        <v>22</v>
      </c>
    </row>
    <row r="139" spans="1:6" x14ac:dyDescent="0.45">
      <c r="A139" t="s">
        <v>2871</v>
      </c>
      <c r="B139" t="str">
        <f>_xlfn.REGEXREPLACE([3]query3!B139, "https://doi.org/", "")</f>
        <v>10.24908/ss.v21i1.14609</v>
      </c>
      <c r="C139">
        <v>17</v>
      </c>
      <c r="D139" s="4" t="s">
        <v>2413</v>
      </c>
      <c r="E139" s="4" t="str">
        <f>'[3]rio results'!M139</f>
        <v>10.5210/FM.V25I9.10801</v>
      </c>
      <c r="F139" s="4">
        <v>22</v>
      </c>
    </row>
    <row r="140" spans="1:6" x14ac:dyDescent="0.45">
      <c r="A140" t="s">
        <v>2872</v>
      </c>
      <c r="B140" t="str">
        <f>_xlfn.REGEXREPLACE([3]query3!B140, "https://doi.org/", "")</f>
        <v>10.1108/jbim-10-2022-0469</v>
      </c>
      <c r="C140">
        <v>17</v>
      </c>
      <c r="D140" s="4" t="s">
        <v>2797</v>
      </c>
      <c r="E140" s="4" t="str">
        <f>'[3]rio results'!M140</f>
        <v>10.1017/S0008423920000207</v>
      </c>
      <c r="F140" s="4">
        <v>22</v>
      </c>
    </row>
    <row r="141" spans="1:6" x14ac:dyDescent="0.45">
      <c r="A141" t="s">
        <v>2873</v>
      </c>
      <c r="B141" t="str">
        <f>_xlfn.REGEXREPLACE([3]query3!B141, "https://doi.org/", "")</f>
        <v>10.1002/berj.3730</v>
      </c>
      <c r="C141">
        <v>17</v>
      </c>
      <c r="D141" s="4" t="s">
        <v>2796</v>
      </c>
      <c r="E141" s="4" t="str">
        <f>'[3]rio results'!M141</f>
        <v>10.1080/25741292.2024.2353929</v>
      </c>
      <c r="F141" s="4">
        <v>21</v>
      </c>
    </row>
    <row r="142" spans="1:6" x14ac:dyDescent="0.45">
      <c r="A142" t="s">
        <v>2874</v>
      </c>
      <c r="B142" t="str">
        <f>_xlfn.REGEXREPLACE([3]query3!B142, "https://doi.org/", "")</f>
        <v>10.1057/s42984-020-00029-4</v>
      </c>
      <c r="C142">
        <v>16</v>
      </c>
      <c r="D142" s="4" t="s">
        <v>2875</v>
      </c>
      <c r="E142" s="4" t="str">
        <f>'[3]rio results'!M142</f>
        <v>10.1080/17516234.2022.2030276</v>
      </c>
      <c r="F142" s="4">
        <v>21</v>
      </c>
    </row>
    <row r="143" spans="1:6" x14ac:dyDescent="0.45">
      <c r="A143" t="s">
        <v>2876</v>
      </c>
      <c r="B143" t="str">
        <f>_xlfn.REGEXREPLACE([3]query3!B143, "https://doi.org/", "")</f>
        <v>10.1016/j.jue.2021.103405</v>
      </c>
      <c r="C143">
        <v>16</v>
      </c>
      <c r="D143" s="4" t="s">
        <v>2877</v>
      </c>
      <c r="E143" s="4" t="str">
        <f>'[3]rio results'!M143</f>
        <v>10.1126/SCIENCE.ADG9830</v>
      </c>
      <c r="F143" s="4">
        <v>21</v>
      </c>
    </row>
    <row r="144" spans="1:6" x14ac:dyDescent="0.45">
      <c r="A144" t="s">
        <v>2878</v>
      </c>
      <c r="B144" t="str">
        <f>_xlfn.REGEXREPLACE([3]query3!B144, "https://doi.org/", "")</f>
        <v>10.1177/10755470231162634</v>
      </c>
      <c r="C144">
        <v>16</v>
      </c>
      <c r="D144" s="4" t="s">
        <v>2879</v>
      </c>
      <c r="E144" s="4" t="str">
        <f>'[3]rio results'!M144</f>
        <v>10.1007/s11160-022-09721-y</v>
      </c>
      <c r="F144" s="4">
        <v>21</v>
      </c>
    </row>
    <row r="145" spans="1:6" x14ac:dyDescent="0.45">
      <c r="A145" t="s">
        <v>2880</v>
      </c>
      <c r="B145" t="str">
        <f>_xlfn.REGEXREPLACE([3]query3!B145, "https://doi.org/", "")</f>
        <v>10.5210/fm.v25i9.10801</v>
      </c>
      <c r="C145">
        <v>16</v>
      </c>
      <c r="D145" s="4" t="s">
        <v>2870</v>
      </c>
      <c r="E145" s="4" t="str">
        <f>'[3]rio results'!M145</f>
        <v>10.1093/isr/viac047</v>
      </c>
      <c r="F145" s="4">
        <v>21</v>
      </c>
    </row>
    <row r="146" spans="1:6" x14ac:dyDescent="0.45">
      <c r="A146" t="s">
        <v>2881</v>
      </c>
      <c r="B146" t="str">
        <f>_xlfn.REGEXREPLACE([3]query3!B146, "https://doi.org/", "")</f>
        <v>10.1099/mgen.0.000450</v>
      </c>
      <c r="C146">
        <v>16</v>
      </c>
      <c r="D146" s="4" t="s">
        <v>2802</v>
      </c>
      <c r="E146" s="4" t="str">
        <f>'[3]rio results'!M146</f>
        <v>10.1186/s12992-022-00802-y</v>
      </c>
      <c r="F146" s="4">
        <v>21</v>
      </c>
    </row>
    <row r="147" spans="1:6" x14ac:dyDescent="0.45">
      <c r="A147" t="s">
        <v>2882</v>
      </c>
      <c r="B147" t="str">
        <f>_xlfn.REGEXREPLACE([3]query3!B147, "https://doi.org/", "")</f>
        <v>10.31219/osf.io/azrxm</v>
      </c>
      <c r="C147">
        <v>16</v>
      </c>
      <c r="D147" s="4" t="s">
        <v>2813</v>
      </c>
      <c r="E147" s="4" t="str">
        <f>'[3]rio results'!M147</f>
        <v>10.3390/fi14060161</v>
      </c>
      <c r="F147" s="4">
        <v>21</v>
      </c>
    </row>
    <row r="148" spans="1:6" x14ac:dyDescent="0.45">
      <c r="A148" t="s">
        <v>2883</v>
      </c>
      <c r="B148" t="str">
        <f>_xlfn.REGEXREPLACE([3]query3!B148, "https://doi.org/", "")</f>
        <v>10.1080/16549716.2020.1802097</v>
      </c>
      <c r="C148">
        <v>16</v>
      </c>
      <c r="D148" s="4" t="s">
        <v>2846</v>
      </c>
      <c r="E148" s="4" t="str">
        <f>'[3]rio results'!M148</f>
        <v>10.1093/geront/gnab115</v>
      </c>
      <c r="F148" s="4">
        <v>21</v>
      </c>
    </row>
    <row r="149" spans="1:6" x14ac:dyDescent="0.45">
      <c r="A149" t="s">
        <v>2884</v>
      </c>
      <c r="B149" t="str">
        <f>_xlfn.REGEXREPLACE([3]query3!B149, "https://doi.org/", "")</f>
        <v>10.1093/isr/viab004</v>
      </c>
      <c r="C149">
        <v>16</v>
      </c>
      <c r="D149" s="4" t="s">
        <v>2885</v>
      </c>
      <c r="E149" s="4" t="str">
        <f>'[3]rio results'!M149</f>
        <v>10.1136/bmjopen-2020-047597</v>
      </c>
      <c r="F149" s="4">
        <v>21</v>
      </c>
    </row>
    <row r="150" spans="1:6" x14ac:dyDescent="0.45">
      <c r="A150" t="s">
        <v>2886</v>
      </c>
      <c r="B150" t="str">
        <f>_xlfn.REGEXREPLACE([3]query3!B150, "https://doi.org/", "")</f>
        <v>10.1002/wps.20736</v>
      </c>
      <c r="C150">
        <v>16</v>
      </c>
      <c r="D150" s="4" t="s">
        <v>2815</v>
      </c>
      <c r="E150" s="4" t="str">
        <f>'[3]rio results'!M150</f>
        <v>10.1139/facets-2020-0080</v>
      </c>
      <c r="F150" s="4">
        <v>21</v>
      </c>
    </row>
    <row r="151" spans="1:6" x14ac:dyDescent="0.45">
      <c r="A151" t="s">
        <v>2887</v>
      </c>
      <c r="B151" t="str">
        <f>_xlfn.REGEXREPLACE([3]query3!B151, "https://doi.org/", "")</f>
        <v>10.37016/mr-2020-40</v>
      </c>
      <c r="C151">
        <v>15</v>
      </c>
      <c r="D151" s="4" t="s">
        <v>2888</v>
      </c>
      <c r="E151" s="4" t="str">
        <f>'[3]rio results'!M151</f>
        <v>10.1111/add.15182</v>
      </c>
      <c r="F151" s="4">
        <v>21</v>
      </c>
    </row>
    <row r="152" spans="1:6" x14ac:dyDescent="0.45">
      <c r="A152" t="s">
        <v>2889</v>
      </c>
      <c r="B152" t="str">
        <f>_xlfn.REGEXREPLACE([3]query3!B152, "https://doi.org/", "")</f>
        <v>10.1007/s00521-022-07296-0</v>
      </c>
      <c r="C152">
        <v>15</v>
      </c>
      <c r="D152" s="4" t="s">
        <v>2772</v>
      </c>
      <c r="E152" s="4" t="str">
        <f>'[3]rio results'!M152</f>
        <v>10.1080/13876988.2021.1894074</v>
      </c>
      <c r="F152" s="4">
        <v>21</v>
      </c>
    </row>
    <row r="153" spans="1:6" x14ac:dyDescent="0.45">
      <c r="A153" t="s">
        <v>2890</v>
      </c>
      <c r="B153" t="str">
        <f>_xlfn.REGEXREPLACE([3]query3!B153, "https://doi.org/", "")</f>
        <v>10.3390/ijerph19010005</v>
      </c>
      <c r="C153">
        <v>15</v>
      </c>
      <c r="D153" s="4" t="s">
        <v>2787</v>
      </c>
      <c r="E153" s="4" t="str">
        <f>'[3]rio results'!M153</f>
        <v>10.1007/s10488-020-01008-3</v>
      </c>
      <c r="F153" s="4">
        <v>21</v>
      </c>
    </row>
    <row r="154" spans="1:6" x14ac:dyDescent="0.45">
      <c r="A154" t="s">
        <v>2891</v>
      </c>
      <c r="B154" t="str">
        <f>_xlfn.REGEXREPLACE([3]query3!B154, "https://doi.org/", "")</f>
        <v>10.1093/isq/sqab093</v>
      </c>
      <c r="C154">
        <v>15</v>
      </c>
      <c r="D154" s="4" t="s">
        <v>2766</v>
      </c>
      <c r="E154" s="4" t="str">
        <f>'[3]rio results'!M154</f>
        <v>10.1080/07352166.2020.1773837</v>
      </c>
      <c r="F154" s="4">
        <v>21</v>
      </c>
    </row>
    <row r="155" spans="1:6" x14ac:dyDescent="0.45">
      <c r="A155" t="s">
        <v>2892</v>
      </c>
      <c r="B155" t="str">
        <f>_xlfn.REGEXREPLACE([3]query3!B155, "https://doi.org/", "")</f>
        <v>10.1093/bjc/azaa029</v>
      </c>
      <c r="C155">
        <v>15</v>
      </c>
      <c r="D155" s="4" t="s">
        <v>2745</v>
      </c>
      <c r="E155" s="4" t="str">
        <f>'[3]rio results'!M155</f>
        <v>10.1017/epi.2022.14</v>
      </c>
      <c r="F155" s="4">
        <v>20</v>
      </c>
    </row>
    <row r="156" spans="1:6" x14ac:dyDescent="0.45">
      <c r="A156" t="s">
        <v>2893</v>
      </c>
      <c r="B156" t="str">
        <f>_xlfn.REGEXREPLACE([3]query3!B156, "https://doi.org/", "")</f>
        <v>10.1016/j.drugalcdep.2022.109633</v>
      </c>
      <c r="C156">
        <v>15</v>
      </c>
      <c r="D156" s="4" t="s">
        <v>2827</v>
      </c>
      <c r="E156" s="4" t="str">
        <f>'[3]rio results'!M156</f>
        <v>10.1016/j.envsci.2023.02.023</v>
      </c>
      <c r="F156" s="4">
        <v>20</v>
      </c>
    </row>
    <row r="157" spans="1:6" x14ac:dyDescent="0.45">
      <c r="A157" t="s">
        <v>2894</v>
      </c>
      <c r="B157" t="str">
        <f>_xlfn.REGEXREPLACE([3]query3!B157, "https://doi.org/", "")</f>
        <v>10.1080/21650020.2023.2296891</v>
      </c>
      <c r="C157">
        <v>15</v>
      </c>
      <c r="D157" s="4" t="s">
        <v>2895</v>
      </c>
      <c r="E157" s="4" t="str">
        <f>'[3]rio results'!M157</f>
        <v>10.1002/smj.3471</v>
      </c>
      <c r="F157" s="4">
        <v>20</v>
      </c>
    </row>
    <row r="158" spans="1:6" x14ac:dyDescent="0.45">
      <c r="A158" t="s">
        <v>2896</v>
      </c>
      <c r="B158" t="str">
        <f>_xlfn.REGEXREPLACE([3]query3!B158, "https://doi.org/", "")</f>
        <v>10.1093/oso/9780197658130.001.0001</v>
      </c>
      <c r="C158">
        <v>15</v>
      </c>
      <c r="D158" s="4" t="s">
        <v>2811</v>
      </c>
      <c r="E158" s="4" t="str">
        <f>'[3]rio results'!M158</f>
        <v>10.1007/s10903-022-01422-9</v>
      </c>
      <c r="F158" s="4">
        <v>20</v>
      </c>
    </row>
    <row r="159" spans="1:6" x14ac:dyDescent="0.45">
      <c r="A159" t="s">
        <v>2897</v>
      </c>
      <c r="B159" t="str">
        <f>_xlfn.REGEXREPLACE([3]query3!B159, "https://doi.org/", "")</f>
        <v>10.1177/14687984221124179</v>
      </c>
      <c r="C159">
        <v>15</v>
      </c>
      <c r="D159" s="4" t="s">
        <v>2427</v>
      </c>
      <c r="E159" s="4" t="str">
        <f>'[3]rio results'!M159</f>
        <v>10.3390/su15054250</v>
      </c>
      <c r="F159" s="4">
        <v>20</v>
      </c>
    </row>
    <row r="160" spans="1:6" x14ac:dyDescent="0.45">
      <c r="A160" t="s">
        <v>2898</v>
      </c>
      <c r="B160" t="str">
        <f>_xlfn.REGEXREPLACE([3]query3!B160, "https://doi.org/", "")</f>
        <v>10.1177/0042098020949080</v>
      </c>
      <c r="C160">
        <v>15</v>
      </c>
      <c r="D160" s="4" t="s">
        <v>2899</v>
      </c>
      <c r="E160" s="4" t="str">
        <f>'[3]rio results'!M160</f>
        <v>10.1186/s40900-022-00350-0</v>
      </c>
      <c r="F160" s="4">
        <v>20</v>
      </c>
    </row>
    <row r="161" spans="1:6" x14ac:dyDescent="0.45">
      <c r="A161" t="s">
        <v>2900</v>
      </c>
      <c r="B161" t="str">
        <f>_xlfn.REGEXREPLACE([3]query3!B161, "https://doi.org/", "")</f>
        <v>10.3390/su14138132</v>
      </c>
      <c r="C161">
        <v>15</v>
      </c>
      <c r="D161" s="4" t="s">
        <v>2901</v>
      </c>
      <c r="E161" s="4" t="str">
        <f>'[3]rio results'!M161</f>
        <v>10.1186/s12877-022-02769-2</v>
      </c>
      <c r="F161" s="4">
        <v>20</v>
      </c>
    </row>
    <row r="162" spans="1:6" x14ac:dyDescent="0.45">
      <c r="A162" t="s">
        <v>2902</v>
      </c>
      <c r="B162" t="str">
        <f>_xlfn.REGEXREPLACE([3]query3!B162, "https://doi.org/", "")</f>
        <v>10.1080/10282580.2021.1881893</v>
      </c>
      <c r="C162">
        <v>14</v>
      </c>
      <c r="D162" s="4" t="s">
        <v>2903</v>
      </c>
      <c r="E162" s="4" t="str">
        <f>'[3]rio results'!M162</f>
        <v>10.1177/1362361321989221</v>
      </c>
      <c r="F162" s="4">
        <v>20</v>
      </c>
    </row>
    <row r="163" spans="1:6" x14ac:dyDescent="0.45">
      <c r="A163" t="s">
        <v>2904</v>
      </c>
      <c r="B163" t="str">
        <f>_xlfn.REGEXREPLACE([3]query3!B163, "https://doi.org/", "")</f>
        <v>10.1080/0735648x.2020.1856706</v>
      </c>
      <c r="C163">
        <v>14</v>
      </c>
      <c r="D163" s="4" t="s">
        <v>2905</v>
      </c>
      <c r="E163" s="4" t="str">
        <f>'[3]rio results'!M163</f>
        <v>10.1002/pan3.10211</v>
      </c>
      <c r="F163" s="4">
        <v>20</v>
      </c>
    </row>
    <row r="164" spans="1:6" x14ac:dyDescent="0.45">
      <c r="A164" t="s">
        <v>2906</v>
      </c>
      <c r="B164" t="str">
        <f>_xlfn.REGEXREPLACE([3]query3!B164, "https://doi.org/", "")</f>
        <v>10.1386/ejac_00008_1</v>
      </c>
      <c r="C164">
        <v>14</v>
      </c>
      <c r="D164" s="4" t="s">
        <v>2907</v>
      </c>
      <c r="E164" s="4" t="str">
        <f>'[3]rio results'!M164</f>
        <v>10.1111/nana.12570</v>
      </c>
      <c r="F164" s="4">
        <v>20</v>
      </c>
    </row>
    <row r="165" spans="1:6" x14ac:dyDescent="0.45">
      <c r="A165" t="s">
        <v>2908</v>
      </c>
      <c r="B165" t="str">
        <f>_xlfn.REGEXREPLACE([3]query3!B165, "https://doi.org/", "")</f>
        <v>10.2196/37007</v>
      </c>
      <c r="C165">
        <v>14</v>
      </c>
      <c r="D165" s="4" t="s">
        <v>2909</v>
      </c>
      <c r="E165" s="4" t="str">
        <f>'[3]rio results'!M165</f>
        <v>10.1108/ILS-08-2019-0086</v>
      </c>
      <c r="F165" s="4">
        <v>20</v>
      </c>
    </row>
    <row r="166" spans="1:6" x14ac:dyDescent="0.45">
      <c r="A166" t="s">
        <v>2910</v>
      </c>
      <c r="B166" t="str">
        <f>_xlfn.REGEXREPLACE([3]query3!B166, "https://doi.org/", "")</f>
        <v>10.1093/polsoc/puad026</v>
      </c>
      <c r="C166">
        <v>14</v>
      </c>
      <c r="D166" s="4" t="s">
        <v>2825</v>
      </c>
      <c r="E166" s="4" t="str">
        <f>'[3]rio results'!M166</f>
        <v>10.1016/j.habitatint.2023.102812</v>
      </c>
      <c r="F166" s="4">
        <v>19</v>
      </c>
    </row>
    <row r="167" spans="1:6" x14ac:dyDescent="0.45">
      <c r="A167" t="s">
        <v>2911</v>
      </c>
      <c r="B167" t="str">
        <f>_xlfn.REGEXREPLACE([3]query3!B167, "https://doi.org/", "")</f>
        <v>10.1016/j.bir.2021.05.004</v>
      </c>
      <c r="C167">
        <v>14</v>
      </c>
      <c r="D167" s="4" t="s">
        <v>2912</v>
      </c>
      <c r="E167" s="4" t="str">
        <f>'[3]rio results'!M167</f>
        <v>10.1038/s41598-022-22630-1</v>
      </c>
      <c r="F167" s="4">
        <v>19</v>
      </c>
    </row>
    <row r="168" spans="1:6" x14ac:dyDescent="0.45">
      <c r="A168" t="s">
        <v>2913</v>
      </c>
      <c r="B168" t="str">
        <f>_xlfn.REGEXREPLACE([3]query3!B168, "https://doi.org/", "")</f>
        <v>10.17645/pag.v9i2.4170</v>
      </c>
      <c r="C168">
        <v>14</v>
      </c>
      <c r="D168" s="4" t="s">
        <v>2914</v>
      </c>
      <c r="E168" s="4" t="str">
        <f>'[3]rio results'!M168</f>
        <v>10.1186/s12889-021-12434-9</v>
      </c>
      <c r="F168" s="4">
        <v>19</v>
      </c>
    </row>
    <row r="169" spans="1:6" x14ac:dyDescent="0.45">
      <c r="A169" t="s">
        <v>2915</v>
      </c>
      <c r="B169" t="str">
        <f>_xlfn.REGEXREPLACE([3]query3!B169, "https://doi.org/", "")</f>
        <v>10.1186/s12954-023-00852-4</v>
      </c>
      <c r="C169">
        <v>14</v>
      </c>
      <c r="D169" s="4" t="s">
        <v>2850</v>
      </c>
      <c r="E169" s="4" t="str">
        <f>'[3]rio results'!M169</f>
        <v>10.1111/1365-2664.14239</v>
      </c>
      <c r="F169" s="4">
        <v>19</v>
      </c>
    </row>
    <row r="170" spans="1:6" x14ac:dyDescent="0.45">
      <c r="A170" t="s">
        <v>2916</v>
      </c>
      <c r="B170" t="str">
        <f>_xlfn.REGEXREPLACE([3]query3!B170, "https://doi.org/", "")</f>
        <v>10.1111/1467-8500.12564</v>
      </c>
      <c r="C170">
        <v>14</v>
      </c>
      <c r="D170" s="4" t="s">
        <v>2840</v>
      </c>
      <c r="E170" s="4" t="str">
        <f>'[3]rio results'!M170</f>
        <v>10.1080/26892618.2021.1955806</v>
      </c>
      <c r="F170" s="4">
        <v>19</v>
      </c>
    </row>
    <row r="171" spans="1:6" x14ac:dyDescent="0.45">
      <c r="A171" t="s">
        <v>2917</v>
      </c>
      <c r="B171" t="str">
        <f>_xlfn.REGEXREPLACE([3]query3!B171, "https://doi.org/", "")</f>
        <v>10.1177/1470594x231158657</v>
      </c>
      <c r="C171">
        <v>14</v>
      </c>
      <c r="D171" s="4" t="s">
        <v>2857</v>
      </c>
      <c r="E171" s="4" t="str">
        <f>'[3]rio results'!M171</f>
        <v>10.1016/j.enpol.2021.112532</v>
      </c>
      <c r="F171" s="4">
        <v>19</v>
      </c>
    </row>
    <row r="172" spans="1:6" x14ac:dyDescent="0.45">
      <c r="A172" t="s">
        <v>2918</v>
      </c>
      <c r="B172" t="str">
        <f>_xlfn.REGEXREPLACE([3]query3!B172, "https://doi.org/", "")</f>
        <v>10.1146/annurev-lawsocsci-021020-105357</v>
      </c>
      <c r="C172">
        <v>14</v>
      </c>
      <c r="D172" s="4" t="s">
        <v>2919</v>
      </c>
      <c r="E172" s="4" t="str">
        <f>'[3]rio results'!M172</f>
        <v>10.1017/9781107323728</v>
      </c>
      <c r="F172" s="4">
        <v>19</v>
      </c>
    </row>
    <row r="173" spans="1:6" x14ac:dyDescent="0.45">
      <c r="A173" t="s">
        <v>2920</v>
      </c>
      <c r="B173" t="str">
        <f>_xlfn.REGEXREPLACE([3]query3!B173, "https://doi.org/", "")</f>
        <v>10.1080/03003930.2020.1857246</v>
      </c>
      <c r="C173">
        <v>14</v>
      </c>
      <c r="D173" s="4" t="s">
        <v>2921</v>
      </c>
      <c r="E173" s="4" t="str">
        <f>'[3]rio results'!M173</f>
        <v>10.3390/philosophies6010014</v>
      </c>
      <c r="F173" s="4">
        <v>19</v>
      </c>
    </row>
    <row r="174" spans="1:6" x14ac:dyDescent="0.45">
      <c r="A174" t="s">
        <v>2922</v>
      </c>
      <c r="B174" t="str">
        <f>_xlfn.REGEXREPLACE([3]query3!B174, "https://doi.org/", "")</f>
        <v>10.1080/14680777.2021.1922487</v>
      </c>
      <c r="C174">
        <v>14</v>
      </c>
      <c r="D174" s="4" t="s">
        <v>2923</v>
      </c>
      <c r="E174" s="4" t="str">
        <f>'[3]rio results'!M174</f>
        <v>10.3390/su12177016</v>
      </c>
      <c r="F174" s="4">
        <v>19</v>
      </c>
    </row>
    <row r="175" spans="1:6" x14ac:dyDescent="0.45">
      <c r="A175" t="s">
        <v>2924</v>
      </c>
      <c r="B175" t="str">
        <f>_xlfn.REGEXREPLACE([3]query3!B175, "https://doi.org/", "")</f>
        <v>10.1111/cag.12797</v>
      </c>
      <c r="C175">
        <v>14</v>
      </c>
      <c r="D175" s="4" t="s">
        <v>2925</v>
      </c>
      <c r="E175" s="4" t="str">
        <f>'[3]rio results'!M175</f>
        <v>10.1093/BJC/AZAA029</v>
      </c>
      <c r="F175" s="4">
        <v>19</v>
      </c>
    </row>
    <row r="176" spans="1:6" x14ac:dyDescent="0.45">
      <c r="A176" t="s">
        <v>2926</v>
      </c>
      <c r="B176" t="str">
        <f>_xlfn.REGEXREPLACE([3]query3!B176, "https://doi.org/", "")</f>
        <v>10.3389/frai.2024.1426761</v>
      </c>
      <c r="C176">
        <v>14</v>
      </c>
      <c r="D176" s="4" t="s">
        <v>2927</v>
      </c>
      <c r="E176" s="4" t="str">
        <f>'[3]rio results'!M176</f>
        <v>10.1093/geront/gnad088</v>
      </c>
      <c r="F176" s="4">
        <v>18</v>
      </c>
    </row>
    <row r="177" spans="1:6" x14ac:dyDescent="0.45">
      <c r="A177" t="s">
        <v>2928</v>
      </c>
      <c r="B177" t="str">
        <f>_xlfn.REGEXREPLACE([3]query3!B177, "https://doi.org/", "")</f>
        <v>10.3390/ijerph192214857</v>
      </c>
      <c r="C177">
        <v>13</v>
      </c>
      <c r="D177" s="4" t="s">
        <v>2861</v>
      </c>
      <c r="E177" s="4" t="str">
        <f>'[3]rio results'!M177</f>
        <v>10.1007/s11292-021-09495-6</v>
      </c>
      <c r="F177" s="4">
        <v>18</v>
      </c>
    </row>
    <row r="178" spans="1:6" x14ac:dyDescent="0.45">
      <c r="A178" t="s">
        <v>2929</v>
      </c>
      <c r="B178" t="str">
        <f>_xlfn.REGEXREPLACE([3]query3!B178, "https://doi.org/", "")</f>
        <v>10.1080/01634372.2022.2087128</v>
      </c>
      <c r="C178">
        <v>13</v>
      </c>
      <c r="D178" s="4" t="s">
        <v>2930</v>
      </c>
      <c r="E178" s="4" t="str">
        <f>'[3]rio results'!M178</f>
        <v>10.1080/00343404.2022.2047916</v>
      </c>
      <c r="F178" s="4">
        <v>18</v>
      </c>
    </row>
    <row r="179" spans="1:6" x14ac:dyDescent="0.45">
      <c r="A179" t="s">
        <v>2931</v>
      </c>
      <c r="B179" t="str">
        <f>_xlfn.REGEXREPLACE([3]query3!B179, "https://doi.org/", "")</f>
        <v>10.1080/23748834.2021.1926657</v>
      </c>
      <c r="C179">
        <v>13</v>
      </c>
      <c r="D179" s="4" t="s">
        <v>2932</v>
      </c>
      <c r="E179" s="4" t="str">
        <f>'[3]rio results'!M179</f>
        <v>10.1017/S0008423922000026</v>
      </c>
      <c r="F179" s="4">
        <v>18</v>
      </c>
    </row>
    <row r="180" spans="1:6" x14ac:dyDescent="0.45">
      <c r="A180" t="s">
        <v>2933</v>
      </c>
      <c r="B180" t="str">
        <f>_xlfn.REGEXREPLACE([3]query3!B180, "https://doi.org/", "")</f>
        <v>10.1371/journal.pclm.0000307</v>
      </c>
      <c r="C180">
        <v>13</v>
      </c>
      <c r="D180" s="4" t="s">
        <v>2934</v>
      </c>
      <c r="E180" s="4" t="str">
        <f>'[3]rio results'!M180</f>
        <v>10.25318/82-003-x202201000001-eng</v>
      </c>
      <c r="F180" s="4">
        <v>18</v>
      </c>
    </row>
    <row r="181" spans="1:6" x14ac:dyDescent="0.45">
      <c r="A181" t="s">
        <v>2935</v>
      </c>
      <c r="B181" t="str">
        <f>_xlfn.REGEXREPLACE([3]query3!B181, "https://doi.org/", "")</f>
        <v>10.1111/emre.12443</v>
      </c>
      <c r="C181">
        <v>13</v>
      </c>
      <c r="D181" s="4" t="s">
        <v>2936</v>
      </c>
      <c r="E181" s="4" t="str">
        <f>'[3]rio results'!M181</f>
        <v>10.1093/isr/viab004</v>
      </c>
      <c r="F181" s="4">
        <v>18</v>
      </c>
    </row>
    <row r="182" spans="1:6" x14ac:dyDescent="0.45">
      <c r="A182" t="s">
        <v>2937</v>
      </c>
      <c r="B182" t="str">
        <f>_xlfn.REGEXREPLACE([3]query3!B182, "https://doi.org/", "")</f>
        <v>10.1371/journal.pgph.0001131</v>
      </c>
      <c r="C182">
        <v>13</v>
      </c>
      <c r="D182" s="4" t="s">
        <v>2794</v>
      </c>
      <c r="E182" s="4" t="str">
        <f>'[3]rio results'!M182</f>
        <v>10.1016/j.resourpol.2020.101869</v>
      </c>
      <c r="F182" s="4">
        <v>18</v>
      </c>
    </row>
    <row r="183" spans="1:6" x14ac:dyDescent="0.45">
      <c r="A183" t="s">
        <v>2938</v>
      </c>
      <c r="B183" t="str">
        <f>_xlfn.REGEXREPLACE([3]query3!B183, "https://doi.org/", "")</f>
        <v>10.1016/j.jcae.2023.100363</v>
      </c>
      <c r="C183">
        <v>13</v>
      </c>
      <c r="D183" s="4" t="s">
        <v>2939</v>
      </c>
      <c r="E183" s="4" t="str">
        <f>'[3]rio results'!M183</f>
        <v>10.1080/09640568.2019.1688650</v>
      </c>
      <c r="F183" s="4">
        <v>18</v>
      </c>
    </row>
    <row r="184" spans="1:6" x14ac:dyDescent="0.45">
      <c r="A184" t="s">
        <v>2940</v>
      </c>
      <c r="B184" t="str">
        <f>_xlfn.REGEXREPLACE([3]query3!B184, "https://doi.org/", "")</f>
        <v>10.1080/14702436.2022.2137494</v>
      </c>
      <c r="C184">
        <v>13</v>
      </c>
      <c r="D184" s="4" t="s">
        <v>2941</v>
      </c>
      <c r="E184" s="4" t="str">
        <f>'[3]rio results'!M184</f>
        <v>10.1017/cls.2020.2</v>
      </c>
      <c r="F184" s="4">
        <v>18</v>
      </c>
    </row>
    <row r="185" spans="1:6" x14ac:dyDescent="0.45">
      <c r="A185" t="s">
        <v>2942</v>
      </c>
      <c r="B185" t="str">
        <f>_xlfn.REGEXREPLACE([3]query3!B185, "https://doi.org/", "")</f>
        <v>10.1007/s11615-022-00395-6</v>
      </c>
      <c r="C185">
        <v>12</v>
      </c>
      <c r="D185" s="4" t="s">
        <v>2943</v>
      </c>
      <c r="E185" s="4" t="str">
        <f>'[3]rio results'!M185</f>
        <v>10.15171/ijhpm.2019.102</v>
      </c>
      <c r="F185" s="4">
        <v>18</v>
      </c>
    </row>
    <row r="186" spans="1:6" x14ac:dyDescent="0.45">
      <c r="A186" t="s">
        <v>2944</v>
      </c>
      <c r="B186" t="str">
        <f>_xlfn.REGEXREPLACE([3]query3!B186, "https://doi.org/", "")</f>
        <v>10.1057/s41311-021-00309-0</v>
      </c>
      <c r="C186">
        <v>12</v>
      </c>
      <c r="D186" s="4" t="s">
        <v>2945</v>
      </c>
      <c r="E186" s="4" t="str">
        <f>'[3]rio results'!M186</f>
        <v>10.1177/1077801219832325</v>
      </c>
      <c r="F186" s="4">
        <v>18</v>
      </c>
    </row>
    <row r="187" spans="1:6" x14ac:dyDescent="0.45">
      <c r="A187" t="s">
        <v>2946</v>
      </c>
      <c r="B187" t="str">
        <f>_xlfn.REGEXREPLACE([3]query3!B187, "https://doi.org/", "")</f>
        <v>10.1007/s11191-021-00253-8</v>
      </c>
      <c r="C187">
        <v>12</v>
      </c>
      <c r="D187" s="4" t="s">
        <v>2947</v>
      </c>
      <c r="E187" s="4" t="str">
        <f>'[3]rio results'!M187</f>
        <v>10.1186/s12954-022-00701-w</v>
      </c>
      <c r="F187" s="4">
        <v>17</v>
      </c>
    </row>
    <row r="188" spans="1:6" x14ac:dyDescent="0.45">
      <c r="A188" t="s">
        <v>2948</v>
      </c>
      <c r="B188" t="str">
        <f>_xlfn.REGEXREPLACE([3]query3!B188, "https://doi.org/", "")</f>
        <v>10.1016/j.tree.2024.01.001</v>
      </c>
      <c r="C188">
        <v>12</v>
      </c>
      <c r="D188" s="4" t="s">
        <v>2843</v>
      </c>
      <c r="E188" s="4" t="str">
        <f>'[3]rio results'!M188</f>
        <v>10.1186/s12939-022-01679-4</v>
      </c>
      <c r="F188" s="4">
        <v>17</v>
      </c>
    </row>
    <row r="189" spans="1:6" x14ac:dyDescent="0.45">
      <c r="A189" t="s">
        <v>2949</v>
      </c>
      <c r="B189" t="str">
        <f>_xlfn.REGEXREPLACE([3]query3!B189, "https://doi.org/", "")</f>
        <v>10.21203/rs.3.rs-759005/v1</v>
      </c>
      <c r="C189">
        <v>12</v>
      </c>
      <c r="D189" s="4" t="s">
        <v>2950</v>
      </c>
      <c r="E189" s="4" t="str">
        <f>'[3]rio results'!M189</f>
        <v>10.1177/0042098020938252</v>
      </c>
      <c r="F189" s="4">
        <v>17</v>
      </c>
    </row>
    <row r="190" spans="1:6" x14ac:dyDescent="0.45">
      <c r="A190" t="s">
        <v>2951</v>
      </c>
      <c r="B190" t="str">
        <f>_xlfn.REGEXREPLACE([3]query3!B190, "https://doi.org/", "")</f>
        <v>10.1371/journal.pgph.0000078</v>
      </c>
      <c r="C190">
        <v>12</v>
      </c>
      <c r="D190" s="4" t="s">
        <v>2848</v>
      </c>
      <c r="E190" s="4" t="str">
        <f>'[3]rio results'!M190</f>
        <v>10.37016/mr-2020-82</v>
      </c>
      <c r="F190" s="4">
        <v>17</v>
      </c>
    </row>
    <row r="191" spans="1:6" x14ac:dyDescent="0.45">
      <c r="A191" t="s">
        <v>2952</v>
      </c>
      <c r="B191" t="str">
        <f>_xlfn.REGEXREPLACE([3]query3!B191, "https://doi.org/", "")</f>
        <v>10.1017/gov.2022.26</v>
      </c>
      <c r="C191">
        <v>12</v>
      </c>
      <c r="D191" s="4" t="s">
        <v>2953</v>
      </c>
      <c r="E191" s="4" t="str">
        <f>'[3]rio results'!M191</f>
        <v>10.1080/10282580.2021.1881893</v>
      </c>
      <c r="F191" s="4">
        <v>17</v>
      </c>
    </row>
    <row r="192" spans="1:6" x14ac:dyDescent="0.45">
      <c r="A192" t="s">
        <v>2954</v>
      </c>
      <c r="B192" t="str">
        <f>_xlfn.REGEXREPLACE([3]query3!B192, "https://doi.org/", "")</f>
        <v>10.1177/14713012221084173</v>
      </c>
      <c r="C192">
        <v>12</v>
      </c>
      <c r="D192" s="4" t="s">
        <v>2384</v>
      </c>
      <c r="E192" s="4" t="str">
        <f>'[3]rio results'!M192</f>
        <v>10.1111/1365-2435.13621</v>
      </c>
      <c r="F192" s="4">
        <v>17</v>
      </c>
    </row>
    <row r="193" spans="1:6" x14ac:dyDescent="0.45">
      <c r="A193" t="s">
        <v>2955</v>
      </c>
      <c r="B193" t="str">
        <f>_xlfn.REGEXREPLACE([3]query3!B193, "https://doi.org/", "")</f>
        <v>10.1016/j.oneear.2024.02.009</v>
      </c>
      <c r="C193">
        <v>12</v>
      </c>
      <c r="D193" s="4" t="s">
        <v>2956</v>
      </c>
      <c r="E193" s="4" t="str">
        <f>'[3]rio results'!M193</f>
        <v>10.1017/S0021911820002314</v>
      </c>
      <c r="F193" s="4">
        <v>17</v>
      </c>
    </row>
    <row r="194" spans="1:6" x14ac:dyDescent="0.45">
      <c r="A194" t="s">
        <v>2957</v>
      </c>
      <c r="B194" t="str">
        <f>_xlfn.REGEXREPLACE([3]query3!B194, "https://doi.org/", "")</f>
        <v>10.3389/fmars.2023.1045887</v>
      </c>
      <c r="C194">
        <v>11</v>
      </c>
      <c r="D194" s="4" t="s">
        <v>2958</v>
      </c>
      <c r="E194" s="4" t="str">
        <f>'[3]rio results'!M194</f>
        <v>10.1177/0261018319857169</v>
      </c>
      <c r="F194" s="4">
        <v>17</v>
      </c>
    </row>
    <row r="195" spans="1:6" x14ac:dyDescent="0.45">
      <c r="A195" t="s">
        <v>2959</v>
      </c>
      <c r="B195" t="str">
        <f>_xlfn.REGEXREPLACE([3]query3!B195, "https://doi.org/", "")</f>
        <v>10.1111/boer.12328</v>
      </c>
      <c r="C195">
        <v>11</v>
      </c>
      <c r="D195" s="4" t="s">
        <v>2960</v>
      </c>
      <c r="E195" s="4" t="str">
        <f>'[3]rio results'!M195</f>
        <v>10.1177/0263775819860850</v>
      </c>
      <c r="F195" s="4">
        <v>17</v>
      </c>
    </row>
    <row r="196" spans="1:6" x14ac:dyDescent="0.45">
      <c r="A196" t="s">
        <v>2856</v>
      </c>
      <c r="B196" t="str">
        <f>_xlfn.REGEXREPLACE([3]query3!B196, "https://doi.org/", "")</f>
        <v>10.1111/1467-8500.12630</v>
      </c>
      <c r="C196">
        <v>11</v>
      </c>
      <c r="D196" s="4" t="s">
        <v>2961</v>
      </c>
      <c r="E196" s="4" t="str">
        <f>'[3]rio results'!M196</f>
        <v>10.1007/978-981-99-2760-9</v>
      </c>
      <c r="F196" s="4">
        <v>16</v>
      </c>
    </row>
    <row r="197" spans="1:6" x14ac:dyDescent="0.45">
      <c r="A197" t="s">
        <v>2962</v>
      </c>
      <c r="B197" t="str">
        <f>_xlfn.REGEXREPLACE([3]query3!B197, "https://doi.org/", "")</f>
        <v>10.1016/j.geoforum.2021.01.019</v>
      </c>
      <c r="C197">
        <v>11</v>
      </c>
      <c r="D197" s="4" t="s">
        <v>2963</v>
      </c>
      <c r="E197" s="4" t="str">
        <f>'[3]rio results'!M197</f>
        <v>10.2105/AJPH.2021.306695</v>
      </c>
      <c r="F197" s="4">
        <v>16</v>
      </c>
    </row>
    <row r="198" spans="1:6" x14ac:dyDescent="0.45">
      <c r="A198" t="s">
        <v>2964</v>
      </c>
      <c r="B198" t="str">
        <f>_xlfn.REGEXREPLACE([3]query3!B198, "https://doi.org/", "")</f>
        <v>10.1136/bmjopen-2022-061729</v>
      </c>
      <c r="C198">
        <v>11</v>
      </c>
      <c r="D198" s="4" t="s">
        <v>2965</v>
      </c>
      <c r="E198" s="4" t="str">
        <f>'[3]rio results'!M198</f>
        <v>10.1136/bmjopen-2021-057072</v>
      </c>
      <c r="F198" s="4">
        <v>16</v>
      </c>
    </row>
    <row r="199" spans="1:6" x14ac:dyDescent="0.45">
      <c r="A199" t="s">
        <v>2966</v>
      </c>
      <c r="B199" t="str">
        <f>_xlfn.REGEXREPLACE([3]query3!B199, "https://doi.org/", "")</f>
        <v>10.1111/joms.12818</v>
      </c>
      <c r="C199">
        <v>11</v>
      </c>
      <c r="D199" s="4" t="s">
        <v>2967</v>
      </c>
      <c r="E199" s="4" t="str">
        <f>'[3]rio results'!M199</f>
        <v>10.1016/j.resourpol.2021.102155</v>
      </c>
      <c r="F199" s="4">
        <v>16</v>
      </c>
    </row>
    <row r="200" spans="1:6" x14ac:dyDescent="0.45">
      <c r="A200" t="s">
        <v>2968</v>
      </c>
      <c r="B200" t="str">
        <f>_xlfn.REGEXREPLACE([3]query3!B200, "https://doi.org/", "")</f>
        <v>10.1016/j.drugpo.2023.104117</v>
      </c>
      <c r="C200">
        <v>11</v>
      </c>
      <c r="D200" s="4" t="s">
        <v>2969</v>
      </c>
      <c r="E200" s="4" t="str">
        <f>'[3]rio results'!M200</f>
        <v>10.1016/j.resourpol.2021.102138</v>
      </c>
      <c r="F200" s="4">
        <v>16</v>
      </c>
    </row>
    <row r="201" spans="1:6" x14ac:dyDescent="0.45">
      <c r="A201" t="s">
        <v>2970</v>
      </c>
      <c r="B201" t="str">
        <f>_xlfn.REGEXREPLACE([3]query3!B201, "https://doi.org/", "")</f>
        <v>10.1080/10584609.2022.2137743</v>
      </c>
      <c r="C201">
        <v>11</v>
      </c>
      <c r="D201" s="4" t="s">
        <v>2971</v>
      </c>
      <c r="E201" s="4" t="str">
        <f>'[3]rio results'!M201</f>
        <v>10.2105/AJPH.2020.306121</v>
      </c>
      <c r="F201" s="4">
        <v>16</v>
      </c>
    </row>
    <row r="202" spans="1:6" x14ac:dyDescent="0.45">
      <c r="A202" t="s">
        <v>2972</v>
      </c>
      <c r="B202" t="str">
        <f>_xlfn.REGEXREPLACE([3]query3!B202, "https://doi.org/", "")</f>
        <v>10.1136/bmjgh-2021-008149</v>
      </c>
      <c r="C202">
        <v>11</v>
      </c>
      <c r="D202" s="4" t="s">
        <v>2973</v>
      </c>
      <c r="E202" s="4" t="str">
        <f>'[3]rio results'!M202</f>
        <v>10.1177/0706743720902616</v>
      </c>
      <c r="F202" s="4">
        <v>16</v>
      </c>
    </row>
    <row r="203" spans="1:6" x14ac:dyDescent="0.45">
      <c r="A203" t="s">
        <v>2974</v>
      </c>
      <c r="B203" t="str">
        <f>_xlfn.REGEXREPLACE([3]query3!B203, "https://doi.org/", "")</f>
        <v>10.1007/s40615-023-01598-2</v>
      </c>
      <c r="C203">
        <v>11</v>
      </c>
      <c r="D203" s="4" t="s">
        <v>2836</v>
      </c>
      <c r="E203" s="4" t="str">
        <f>'[3]rio results'!M203</f>
        <v>10.1016/j.wsif.2023.102781</v>
      </c>
      <c r="F203" s="4">
        <v>15</v>
      </c>
    </row>
    <row r="204" spans="1:6" x14ac:dyDescent="0.45">
      <c r="A204" t="s">
        <v>2975</v>
      </c>
      <c r="B204" t="str">
        <f>_xlfn.REGEXREPLACE([3]query3!B204, "https://doi.org/", "")</f>
        <v>10.1016/j.forpol.2020.102119</v>
      </c>
      <c r="C204">
        <v>11</v>
      </c>
      <c r="D204" s="4" t="s">
        <v>2976</v>
      </c>
      <c r="E204" s="4" t="str">
        <f>'[3]rio results'!M204</f>
        <v>10.1093/polsoc/puad001</v>
      </c>
      <c r="F204" s="4">
        <v>15</v>
      </c>
    </row>
    <row r="205" spans="1:6" x14ac:dyDescent="0.45">
      <c r="A205" t="s">
        <v>2977</v>
      </c>
      <c r="B205" t="str">
        <f>_xlfn.REGEXREPLACE([3]query3!B205, "https://doi.org/", "")</f>
        <v>10.3390/v13050926</v>
      </c>
      <c r="C205">
        <v>11</v>
      </c>
      <c r="D205" s="4" t="s">
        <v>2978</v>
      </c>
      <c r="E205" s="4">
        <f>'[3]rio results'!M205</f>
        <v>0</v>
      </c>
      <c r="F205" s="4">
        <v>15</v>
      </c>
    </row>
    <row r="206" spans="1:6" x14ac:dyDescent="0.45">
      <c r="A206" t="s">
        <v>2979</v>
      </c>
      <c r="B206" t="str">
        <f>_xlfn.REGEXREPLACE([3]query3!B206, "https://doi.org/", "")</f>
        <v>10.1080/09640568.2019.1702512</v>
      </c>
      <c r="C206">
        <v>11</v>
      </c>
      <c r="D206" s="4" t="s">
        <v>2980</v>
      </c>
      <c r="E206" s="4" t="str">
        <f>'[3]rio results'!M206</f>
        <v>10.1111/hsc.13871</v>
      </c>
      <c r="F206" s="4">
        <v>15</v>
      </c>
    </row>
    <row r="207" spans="1:6" x14ac:dyDescent="0.45">
      <c r="A207" t="s">
        <v>2981</v>
      </c>
      <c r="B207" t="str">
        <f>_xlfn.REGEXREPLACE([3]query3!B207, "https://doi.org/", "")</f>
        <v>10.3389/fgene.2021.716541</v>
      </c>
      <c r="C207">
        <v>11</v>
      </c>
      <c r="D207" s="4" t="s">
        <v>2864</v>
      </c>
      <c r="E207" s="4" t="str">
        <f>'[3]rio results'!M207</f>
        <v>10.3390/su141811600</v>
      </c>
      <c r="F207" s="4">
        <v>15</v>
      </c>
    </row>
    <row r="208" spans="1:6" x14ac:dyDescent="0.45">
      <c r="A208" t="s">
        <v>2982</v>
      </c>
      <c r="B208" t="str">
        <f>_xlfn.REGEXREPLACE([3]query3!B208, "https://doi.org/", "")</f>
        <v>10.2196/49416</v>
      </c>
      <c r="C208">
        <v>10</v>
      </c>
      <c r="D208" s="4" t="s">
        <v>2983</v>
      </c>
      <c r="E208" s="4" t="str">
        <f>'[3]rio results'!M208</f>
        <v>10.1007/s11615-022-00395-6</v>
      </c>
      <c r="F208" s="4">
        <v>15</v>
      </c>
    </row>
    <row r="209" spans="1:6" x14ac:dyDescent="0.45">
      <c r="A209" t="s">
        <v>2984</v>
      </c>
      <c r="B209" t="str">
        <f>_xlfn.REGEXREPLACE([3]query3!B209, "https://doi.org/", "")</f>
        <v>10.51685/jqd.2022.024</v>
      </c>
      <c r="C209">
        <v>10</v>
      </c>
      <c r="D209" s="4" t="s">
        <v>2922</v>
      </c>
      <c r="E209" s="4" t="str">
        <f>'[3]rio results'!M209</f>
        <v>10.1080/14680777.2021.1922487</v>
      </c>
      <c r="F209" s="4">
        <v>15</v>
      </c>
    </row>
    <row r="210" spans="1:6" x14ac:dyDescent="0.45">
      <c r="A210" t="s">
        <v>2985</v>
      </c>
      <c r="B210" t="str">
        <f>_xlfn.REGEXREPLACE([3]query3!B210, "https://doi.org/", "")</f>
        <v>10.1007/s11524-022-00680-0</v>
      </c>
      <c r="C210">
        <v>10</v>
      </c>
      <c r="D210" s="4" t="s">
        <v>2986</v>
      </c>
      <c r="E210" s="4" t="str">
        <f>'[3]rio results'!M210</f>
        <v>10.1016/j.resourpol.2020.101970</v>
      </c>
      <c r="F210" s="4">
        <v>15</v>
      </c>
    </row>
    <row r="211" spans="1:6" x14ac:dyDescent="0.45">
      <c r="A211" t="s">
        <v>2987</v>
      </c>
      <c r="B211" t="str">
        <f>_xlfn.REGEXREPLACE([3]query3!B211, "https://doi.org/", "")</f>
        <v>10.1186/s12913-024-11549-0</v>
      </c>
      <c r="C211">
        <v>10</v>
      </c>
      <c r="D211" s="4" t="s">
        <v>2988</v>
      </c>
      <c r="E211" s="4" t="str">
        <f>'[3]rio results'!M211</f>
        <v>10.1007/s10461-019-02463-2</v>
      </c>
      <c r="F211" s="4">
        <v>15</v>
      </c>
    </row>
    <row r="212" spans="1:6" x14ac:dyDescent="0.45">
      <c r="A212" t="s">
        <v>2989</v>
      </c>
      <c r="B212" t="str">
        <f>_xlfn.REGEXREPLACE([3]query3!B212, "https://doi.org/", "")</f>
        <v>10.1016/j.pnpbp.2020.110084</v>
      </c>
      <c r="C212">
        <v>10</v>
      </c>
      <c r="D212" s="4" t="s">
        <v>2878</v>
      </c>
      <c r="E212" s="4" t="str">
        <f>'[3]rio results'!M212</f>
        <v>10.1177/10755470231162634</v>
      </c>
      <c r="F212" s="4">
        <v>14</v>
      </c>
    </row>
    <row r="213" spans="1:6" x14ac:dyDescent="0.45">
      <c r="A213" t="s">
        <v>2990</v>
      </c>
      <c r="B213" t="str">
        <f>_xlfn.REGEXREPLACE([3]query3!B213, "https://doi.org/", "")</f>
        <v>10.1080/14693062.2021.1949259</v>
      </c>
      <c r="C213">
        <v>10</v>
      </c>
      <c r="D213" s="4" t="s">
        <v>2917</v>
      </c>
      <c r="E213" s="4" t="str">
        <f>'[3]rio results'!M213</f>
        <v>10.1177/1470594X231158657</v>
      </c>
      <c r="F213" s="4">
        <v>14</v>
      </c>
    </row>
    <row r="214" spans="1:6" x14ac:dyDescent="0.45">
      <c r="A214" t="s">
        <v>2991</v>
      </c>
      <c r="B214" t="str">
        <f>_xlfn.REGEXREPLACE([3]query3!B214, "https://doi.org/", "")</f>
        <v>10.3390/ijerph17249283</v>
      </c>
      <c r="C214">
        <v>10</v>
      </c>
      <c r="D214" s="4" t="s">
        <v>2992</v>
      </c>
      <c r="E214" s="4" t="str">
        <f>'[3]rio results'!M214</f>
        <v>10.1108/JAAR-04-2022-0086</v>
      </c>
      <c r="F214" s="4">
        <v>14</v>
      </c>
    </row>
    <row r="215" spans="1:6" x14ac:dyDescent="0.45">
      <c r="A215" t="s">
        <v>2993</v>
      </c>
      <c r="B215" t="str">
        <f>_xlfn.REGEXREPLACE([3]query3!B215, "https://doi.org/", "")</f>
        <v>10.1093/cjres/rsab008</v>
      </c>
      <c r="C215">
        <v>10</v>
      </c>
      <c r="D215" s="4" t="s">
        <v>2710</v>
      </c>
      <c r="E215" s="4" t="str">
        <f>'[3]rio results'!M215</f>
        <v>10.1177/00207314221134040</v>
      </c>
      <c r="F215" s="4">
        <v>14</v>
      </c>
    </row>
    <row r="216" spans="1:6" x14ac:dyDescent="0.45">
      <c r="A216" t="s">
        <v>2994</v>
      </c>
      <c r="B216" t="str">
        <f>_xlfn.REGEXREPLACE([3]query3!B216, "https://doi.org/", "")</f>
        <v>10.1177/1363459320912808</v>
      </c>
      <c r="C216">
        <v>10</v>
      </c>
      <c r="D216" s="4" t="s">
        <v>2995</v>
      </c>
      <c r="E216" s="4" t="str">
        <f>'[3]rio results'!M216</f>
        <v>10.1089/can.2021.0080</v>
      </c>
      <c r="F216" s="4">
        <v>14</v>
      </c>
    </row>
    <row r="217" spans="1:6" x14ac:dyDescent="0.45">
      <c r="A217" t="s">
        <v>2996</v>
      </c>
      <c r="B217" t="str">
        <f>_xlfn.REGEXREPLACE([3]query3!B217, "https://doi.org/", "")</f>
        <v>10.3386/w30368</v>
      </c>
      <c r="C217">
        <v>10</v>
      </c>
      <c r="D217" s="4" t="s">
        <v>2862</v>
      </c>
      <c r="E217" s="4" t="str">
        <f>'[3]rio results'!M217</f>
        <v>10.1002/bse.3060</v>
      </c>
      <c r="F217" s="4">
        <v>14</v>
      </c>
    </row>
    <row r="218" spans="1:6" x14ac:dyDescent="0.45">
      <c r="A218" t="s">
        <v>2997</v>
      </c>
      <c r="B218" t="str">
        <f>_xlfn.REGEXREPLACE([3]query3!B218, "https://doi.org/", "")</f>
        <v>10.1287/isre.2022.1100</v>
      </c>
      <c r="C218">
        <v>10</v>
      </c>
      <c r="D218" s="4" t="s">
        <v>2889</v>
      </c>
      <c r="E218" s="4" t="str">
        <f>'[3]rio results'!M218</f>
        <v>10.1007/s00521-022-07296-0</v>
      </c>
      <c r="F218" s="4">
        <v>14</v>
      </c>
    </row>
    <row r="219" spans="1:6" x14ac:dyDescent="0.45">
      <c r="A219" t="s">
        <v>2998</v>
      </c>
      <c r="B219" t="str">
        <f>_xlfn.REGEXREPLACE([3]query3!B219, "https://doi.org/", "")</f>
        <v>10.5751/es-15122-290304</v>
      </c>
      <c r="C219">
        <v>10</v>
      </c>
      <c r="D219" s="4" t="s">
        <v>2868</v>
      </c>
      <c r="E219" s="4" t="str">
        <f>'[3]rio results'!M219</f>
        <v>10.3389/fnut.2022.928837</v>
      </c>
      <c r="F219" s="4">
        <v>14</v>
      </c>
    </row>
    <row r="220" spans="1:6" x14ac:dyDescent="0.45">
      <c r="A220" t="s">
        <v>2999</v>
      </c>
      <c r="B220" t="str">
        <f>_xlfn.REGEXREPLACE([3]query3!B220, "https://doi.org/", "")</f>
        <v>10.1515/opis-2020-0118</v>
      </c>
      <c r="C220">
        <v>9</v>
      </c>
      <c r="D220" s="4" t="s">
        <v>3000</v>
      </c>
      <c r="E220" s="4" t="str">
        <f>'[3]rio results'!M220</f>
        <v>10.1080/1523908X.2021.2015684</v>
      </c>
      <c r="F220" s="4">
        <v>14</v>
      </c>
    </row>
    <row r="221" spans="1:6" x14ac:dyDescent="0.45">
      <c r="A221" t="s">
        <v>3001</v>
      </c>
      <c r="B221" t="str">
        <f>_xlfn.REGEXREPLACE([3]query3!B221, "https://doi.org/", "")</f>
        <v>10.1016/j.pnpbp.2023.110795</v>
      </c>
      <c r="C221">
        <v>9</v>
      </c>
      <c r="D221" s="4" t="s">
        <v>3002</v>
      </c>
      <c r="E221" s="4" t="str">
        <f>'[3]rio results'!M221</f>
        <v>10.1186/s12954-021-00537-w</v>
      </c>
      <c r="F221" s="4">
        <v>14</v>
      </c>
    </row>
    <row r="222" spans="1:6" x14ac:dyDescent="0.45">
      <c r="A222" t="s">
        <v>3003</v>
      </c>
      <c r="B222" t="str">
        <f>_xlfn.REGEXREPLACE([3]query3!B222, "https://doi.org/", "")</f>
        <v>10.1186/s12888-023-04945-z</v>
      </c>
      <c r="C222">
        <v>9</v>
      </c>
      <c r="D222" s="4" t="s">
        <v>3004</v>
      </c>
      <c r="E222" s="4" t="str">
        <f>'[3]rio results'!M222</f>
        <v>10.1177/0042098020949080</v>
      </c>
      <c r="F222" s="4">
        <v>14</v>
      </c>
    </row>
    <row r="223" spans="1:6" x14ac:dyDescent="0.45">
      <c r="A223" t="s">
        <v>3005</v>
      </c>
      <c r="B223" t="str">
        <f>_xlfn.REGEXREPLACE([3]query3!B223, "https://doi.org/", "")</f>
        <v>10.1080/02673037.2020.1789564</v>
      </c>
      <c r="C223">
        <v>9</v>
      </c>
      <c r="D223" s="4" t="s">
        <v>3006</v>
      </c>
      <c r="E223" s="4" t="str">
        <f>'[3]rio results'!M223</f>
        <v>10.1016/j.resourpol.2020.101969</v>
      </c>
      <c r="F223" s="4">
        <v>14</v>
      </c>
    </row>
    <row r="224" spans="1:6" x14ac:dyDescent="0.45">
      <c r="A224" t="s">
        <v>3007</v>
      </c>
      <c r="B224" t="str">
        <f>_xlfn.REGEXREPLACE([3]query3!B224, "https://doi.org/", "")</f>
        <v>10.1177/0706743721989158</v>
      </c>
      <c r="C224">
        <v>9</v>
      </c>
      <c r="D224" s="4" t="s">
        <v>3008</v>
      </c>
      <c r="E224" s="4" t="str">
        <f>'[3]rio results'!M224</f>
        <v>10.17645/pag.v9i2.4170</v>
      </c>
      <c r="F224" s="4">
        <v>14</v>
      </c>
    </row>
    <row r="225" spans="1:6" x14ac:dyDescent="0.45">
      <c r="A225" t="s">
        <v>3009</v>
      </c>
      <c r="B225" t="str">
        <f>_xlfn.REGEXREPLACE([3]query3!B225, "https://doi.org/", "")</f>
        <v>10.46292/sci21-00056</v>
      </c>
      <c r="C225">
        <v>9</v>
      </c>
      <c r="D225" s="4" t="s">
        <v>3010</v>
      </c>
      <c r="E225" s="4" t="str">
        <f>'[3]rio results'!M225</f>
        <v>10.1080/17441692.2019.1708961</v>
      </c>
      <c r="F225" s="4">
        <v>14</v>
      </c>
    </row>
    <row r="226" spans="1:6" x14ac:dyDescent="0.45">
      <c r="A226" t="s">
        <v>3011</v>
      </c>
      <c r="B226" t="str">
        <f>_xlfn.REGEXREPLACE([3]query3!B226, "https://doi.org/", "")</f>
        <v>10.1177/16094069231157350</v>
      </c>
      <c r="C226">
        <v>9</v>
      </c>
      <c r="D226" s="4" t="s">
        <v>3012</v>
      </c>
      <c r="E226" s="4" t="str">
        <f>'[3]rio results'!M226</f>
        <v>10.1017/S0714980819000588</v>
      </c>
      <c r="F226" s="4">
        <v>14</v>
      </c>
    </row>
    <row r="227" spans="1:6" x14ac:dyDescent="0.45">
      <c r="A227" t="s">
        <v>3013</v>
      </c>
      <c r="B227" t="str">
        <f>_xlfn.REGEXREPLACE([3]query3!B227, "https://doi.org/", "")</f>
        <v>10.3389/fpos.2022.834223</v>
      </c>
      <c r="C227">
        <v>9</v>
      </c>
      <c r="D227" s="4" t="s">
        <v>3014</v>
      </c>
      <c r="E227" s="4" t="str">
        <f>'[3]rio results'!M227</f>
        <v>10.1080/13563467.2019.1574293</v>
      </c>
      <c r="F227" s="4">
        <v>14</v>
      </c>
    </row>
    <row r="228" spans="1:6" x14ac:dyDescent="0.45">
      <c r="A228" t="s">
        <v>3015</v>
      </c>
      <c r="B228" t="str">
        <f>_xlfn.REGEXREPLACE([3]query3!B228, "https://doi.org/", "")</f>
        <v>10.1093/geront/gnad151</v>
      </c>
      <c r="C228">
        <v>9</v>
      </c>
      <c r="D228" s="4" t="s">
        <v>3016</v>
      </c>
      <c r="E228" s="4" t="str">
        <f>'[3]rio results'!M228</f>
        <v>10.1080/15562948.2019.1570579</v>
      </c>
      <c r="F228" s="4">
        <v>14</v>
      </c>
    </row>
    <row r="229" spans="1:6" x14ac:dyDescent="0.45">
      <c r="A229" t="s">
        <v>3017</v>
      </c>
      <c r="B229" t="str">
        <f>_xlfn.REGEXREPLACE([3]query3!B229, "https://doi.org/", "")</f>
        <v>10.1024/1662-9647/a000301</v>
      </c>
      <c r="C229">
        <v>9</v>
      </c>
      <c r="D229" s="4" t="s">
        <v>3018</v>
      </c>
      <c r="E229" s="4" t="str">
        <f>'[3]rio results'!M229</f>
        <v>10.1099/mgen.0.000450</v>
      </c>
      <c r="F229" s="4">
        <v>14</v>
      </c>
    </row>
    <row r="230" spans="1:6" x14ac:dyDescent="0.45">
      <c r="A230" t="s">
        <v>3019</v>
      </c>
      <c r="B230" t="str">
        <f>_xlfn.REGEXREPLACE([3]query3!B230, "https://doi.org/", "")</f>
        <v>10.1108/978-1-80262-985-920221004</v>
      </c>
      <c r="C230">
        <v>9</v>
      </c>
      <c r="D230" s="4" t="s">
        <v>3020</v>
      </c>
      <c r="E230" s="4" t="str">
        <f>'[3]rio results'!M230</f>
        <v>10.1111/joms.12818</v>
      </c>
      <c r="F230" s="4">
        <v>13</v>
      </c>
    </row>
    <row r="231" spans="1:6" x14ac:dyDescent="0.45">
      <c r="A231" t="s">
        <v>3021</v>
      </c>
      <c r="B231" t="str">
        <f>_xlfn.REGEXREPLACE([3]query3!B231, "https://doi.org/", "")</f>
        <v>10.1177/87569728231173298</v>
      </c>
      <c r="C231">
        <v>9</v>
      </c>
      <c r="D231" s="4" t="s">
        <v>2952</v>
      </c>
      <c r="E231" s="4" t="str">
        <f>'[3]rio results'!M231</f>
        <v>10.1017/gov.2022.26</v>
      </c>
      <c r="F231" s="4">
        <v>13</v>
      </c>
    </row>
    <row r="232" spans="1:6" x14ac:dyDescent="0.45">
      <c r="A232" t="s">
        <v>3022</v>
      </c>
      <c r="B232" t="str">
        <f>_xlfn.REGEXREPLACE([3]query3!B232, "https://doi.org/", "")</f>
        <v>10.1080/21622671.2023.2196303</v>
      </c>
      <c r="C232">
        <v>8</v>
      </c>
      <c r="D232" s="4" t="s">
        <v>3023</v>
      </c>
      <c r="E232" s="4" t="str">
        <f>'[3]rio results'!M232</f>
        <v>10.1080/01634372.2022.2087128</v>
      </c>
      <c r="F232" s="4">
        <v>13</v>
      </c>
    </row>
    <row r="233" spans="1:6" x14ac:dyDescent="0.45">
      <c r="A233" t="s">
        <v>3024</v>
      </c>
      <c r="B233" t="str">
        <f>_xlfn.REGEXREPLACE([3]query3!B233, "https://doi.org/", "")</f>
        <v>10.1080/14616742.2022.2075424</v>
      </c>
      <c r="C233">
        <v>8</v>
      </c>
      <c r="D233" s="4" t="s">
        <v>2908</v>
      </c>
      <c r="E233" s="4" t="str">
        <f>'[3]rio results'!M233</f>
        <v>10.2196/37007</v>
      </c>
      <c r="F233" s="4">
        <v>13</v>
      </c>
    </row>
    <row r="234" spans="1:6" x14ac:dyDescent="0.45">
      <c r="A234" t="s">
        <v>3025</v>
      </c>
      <c r="B234" t="str">
        <f>_xlfn.REGEXREPLACE([3]query3!B234, "https://doi.org/", "")</f>
        <v>10.3390/jrfm14080375</v>
      </c>
      <c r="C234">
        <v>8</v>
      </c>
      <c r="D234" s="4" t="s">
        <v>3026</v>
      </c>
      <c r="E234" s="4" t="str">
        <f>'[3]rio results'!M234</f>
        <v>10.3390/ijerph19063695</v>
      </c>
      <c r="F234" s="4">
        <v>13</v>
      </c>
    </row>
    <row r="235" spans="1:6" x14ac:dyDescent="0.45">
      <c r="A235" t="s">
        <v>3027</v>
      </c>
      <c r="B235" t="str">
        <f>_xlfn.REGEXREPLACE([3]query3!B235, "https://doi.org/", "")</f>
        <v>10.1080/09687637.2021.1872500</v>
      </c>
      <c r="C235">
        <v>8</v>
      </c>
      <c r="D235" s="4" t="s">
        <v>3028</v>
      </c>
      <c r="E235" s="4" t="str">
        <f>'[3]rio results'!M235</f>
        <v>10.1016/j.chest.2021.10.028</v>
      </c>
      <c r="F235" s="4">
        <v>13</v>
      </c>
    </row>
    <row r="236" spans="1:6" x14ac:dyDescent="0.45">
      <c r="A236" t="s">
        <v>3029</v>
      </c>
      <c r="B236" t="str">
        <f>_xlfn.REGEXREPLACE([3]query3!B236, "https://doi.org/", "")</f>
        <v>10.1037/tms0000123</v>
      </c>
      <c r="C236">
        <v>8</v>
      </c>
      <c r="D236" s="4" t="s">
        <v>3030</v>
      </c>
      <c r="E236" s="4" t="str">
        <f>'[3]rio results'!M236</f>
        <v>10.11591/eei.v10i3.3028</v>
      </c>
      <c r="F236" s="4">
        <v>13</v>
      </c>
    </row>
    <row r="237" spans="1:6" x14ac:dyDescent="0.45">
      <c r="A237" t="s">
        <v>3031</v>
      </c>
      <c r="B237" t="str">
        <f>_xlfn.REGEXREPLACE([3]query3!B237, "https://doi.org/", "")</f>
        <v>10.21810/jicw.v3i2.2374</v>
      </c>
      <c r="C237">
        <v>8</v>
      </c>
      <c r="D237" s="4" t="s">
        <v>3032</v>
      </c>
      <c r="E237" s="4" t="str">
        <f>'[3]rio results'!M237</f>
        <v>10.1111/emre.12443</v>
      </c>
      <c r="F237" s="4">
        <v>13</v>
      </c>
    </row>
    <row r="238" spans="1:6" x14ac:dyDescent="0.45">
      <c r="A238" t="s">
        <v>3033</v>
      </c>
      <c r="B238" t="str">
        <f>_xlfn.REGEXREPLACE([3]query3!B238, "https://doi.org/", "")</f>
        <v>10.24135/dcj.v2i1.16</v>
      </c>
      <c r="C238">
        <v>8</v>
      </c>
      <c r="D238" s="4" t="s">
        <v>3034</v>
      </c>
      <c r="E238" s="4" t="str">
        <f>'[3]rio results'!M238</f>
        <v>10.25318/82-003-x202100500002-eng</v>
      </c>
      <c r="F238" s="4">
        <v>13</v>
      </c>
    </row>
    <row r="239" spans="1:6" x14ac:dyDescent="0.45">
      <c r="A239" t="s">
        <v>3035</v>
      </c>
      <c r="B239" t="str">
        <f>_xlfn.REGEXREPLACE([3]query3!B239, "https://doi.org/", "")</f>
        <v>10.1002/ijop.12776</v>
      </c>
      <c r="C239">
        <v>8</v>
      </c>
      <c r="D239" s="4" t="s">
        <v>3036</v>
      </c>
      <c r="E239" s="4" t="str">
        <f>'[3]rio results'!M239</f>
        <v>10.1016/j.forpol.2020.102119</v>
      </c>
      <c r="F239" s="4">
        <v>13</v>
      </c>
    </row>
    <row r="240" spans="1:6" x14ac:dyDescent="0.45">
      <c r="A240" t="s">
        <v>3037</v>
      </c>
      <c r="B240" t="str">
        <f>_xlfn.REGEXREPLACE([3]query3!B240, "https://doi.org/", "")</f>
        <v>10.1080/26892618.2020.1734138</v>
      </c>
      <c r="C240">
        <v>8</v>
      </c>
      <c r="D240" s="4" t="s">
        <v>3038</v>
      </c>
      <c r="E240" s="4" t="str">
        <f>'[3]rio results'!M240</f>
        <v>10.1007/978-3-030-60239-0_16</v>
      </c>
      <c r="F240" s="4">
        <v>13</v>
      </c>
    </row>
    <row r="241" spans="1:6" x14ac:dyDescent="0.45">
      <c r="A241" t="s">
        <v>3039</v>
      </c>
      <c r="B241" t="str">
        <f>_xlfn.REGEXREPLACE([3]query3!B241, "https://doi.org/", "")</f>
        <v>10.1080/20551940.2020.1863121</v>
      </c>
      <c r="C241">
        <v>8</v>
      </c>
      <c r="D241" s="4" t="s">
        <v>3040</v>
      </c>
      <c r="E241" s="4" t="str">
        <f>'[3]rio results'!M241</f>
        <v>10.1186/s12954-024-00996-x</v>
      </c>
      <c r="F241" s="4">
        <v>12</v>
      </c>
    </row>
    <row r="242" spans="1:6" x14ac:dyDescent="0.45">
      <c r="A242" t="s">
        <v>3041</v>
      </c>
      <c r="B242" t="str">
        <f>_xlfn.REGEXREPLACE([3]query3!B242, "https://doi.org/", "")</f>
        <v>10.1111/obr.13623</v>
      </c>
      <c r="C242">
        <v>8</v>
      </c>
      <c r="D242" s="4" t="s">
        <v>2872</v>
      </c>
      <c r="E242" s="4" t="str">
        <f>'[3]rio results'!M242</f>
        <v>10.1108/JBIM-10-2022-0469</v>
      </c>
      <c r="F242" s="4">
        <v>12</v>
      </c>
    </row>
    <row r="243" spans="1:6" x14ac:dyDescent="0.45">
      <c r="A243" t="s">
        <v>3042</v>
      </c>
      <c r="B243" t="str">
        <f>_xlfn.REGEXREPLACE([3]query3!B243, "https://doi.org/", "")</f>
        <v>10.30636/jbpa.51.292</v>
      </c>
      <c r="C243">
        <v>8</v>
      </c>
      <c r="D243" s="4" t="s">
        <v>2926</v>
      </c>
      <c r="E243" s="4" t="str">
        <f>'[3]rio results'!M243</f>
        <v>10.3389/frai.2024.1426761</v>
      </c>
      <c r="F243" s="4">
        <v>12</v>
      </c>
    </row>
    <row r="244" spans="1:6" x14ac:dyDescent="0.45">
      <c r="A244" t="s">
        <v>3043</v>
      </c>
      <c r="B244" t="str">
        <f>_xlfn.REGEXREPLACE([3]query3!B244, "https://doi.org/", "")</f>
        <v>10.3389/feduc.2022.936724</v>
      </c>
      <c r="C244">
        <v>8</v>
      </c>
      <c r="D244" s="4" t="s">
        <v>2894</v>
      </c>
      <c r="E244" s="4" t="str">
        <f>'[3]rio results'!M244</f>
        <v>10.1080/21650020.2023.2296891</v>
      </c>
      <c r="F244" s="4">
        <v>12</v>
      </c>
    </row>
    <row r="245" spans="1:6" x14ac:dyDescent="0.45">
      <c r="A245" t="s">
        <v>3044</v>
      </c>
      <c r="B245" t="str">
        <f>_xlfn.REGEXREPLACE([3]query3!B245, "https://doi.org/", "")</f>
        <v>10.12688/wellcomeopenres.17244.2</v>
      </c>
      <c r="C245">
        <v>8</v>
      </c>
      <c r="D245" s="4" t="s">
        <v>3045</v>
      </c>
      <c r="E245" s="4" t="str">
        <f>'[3]rio results'!M245</f>
        <v>10.1186/s12954-023-00833-7</v>
      </c>
      <c r="F245" s="4">
        <v>12</v>
      </c>
    </row>
    <row r="246" spans="1:6" x14ac:dyDescent="0.45">
      <c r="A246" t="s">
        <v>3046</v>
      </c>
      <c r="B246" t="str">
        <f>_xlfn.REGEXREPLACE([3]query3!B246, "https://doi.org/", "")</f>
        <v>10.1108/ijpsm-02-2021-0050</v>
      </c>
      <c r="C246">
        <v>8</v>
      </c>
      <c r="D246" s="4" t="s">
        <v>2933</v>
      </c>
      <c r="E246" s="4" t="str">
        <f>'[3]rio results'!M246</f>
        <v>10.1371/journal.pclm.0000307</v>
      </c>
      <c r="F246" s="4">
        <v>12</v>
      </c>
    </row>
    <row r="247" spans="1:6" x14ac:dyDescent="0.45">
      <c r="A247" t="s">
        <v>3047</v>
      </c>
      <c r="B247" t="str">
        <f>_xlfn.REGEXREPLACE([3]query3!B247, "https://doi.org/", "")</f>
        <v>10.1002/smj.3503</v>
      </c>
      <c r="C247">
        <v>8</v>
      </c>
      <c r="D247" s="4" t="s">
        <v>2938</v>
      </c>
      <c r="E247" s="4" t="str">
        <f>'[3]rio results'!M247</f>
        <v>10.1016/j.jcae.2023.100363</v>
      </c>
      <c r="F247" s="4">
        <v>12</v>
      </c>
    </row>
    <row r="248" spans="1:6" x14ac:dyDescent="0.45">
      <c r="A248" t="s">
        <v>3048</v>
      </c>
      <c r="B248" t="str">
        <f>_xlfn.REGEXREPLACE([3]query3!B248, "https://doi.org/", "")</f>
        <v>10.1007/s13178-023-00900-5</v>
      </c>
      <c r="C248">
        <v>8</v>
      </c>
      <c r="D248" s="4" t="s">
        <v>2916</v>
      </c>
      <c r="E248" s="4" t="str">
        <f>'[3]rio results'!M248</f>
        <v>10.1111/1467-8500.12564</v>
      </c>
      <c r="F248" s="4">
        <v>12</v>
      </c>
    </row>
    <row r="249" spans="1:6" x14ac:dyDescent="0.45">
      <c r="A249" t="s">
        <v>3049</v>
      </c>
      <c r="B249" t="str">
        <f>_xlfn.REGEXREPLACE([3]query3!B249, "https://doi.org/", "")</f>
        <v>10.1093/applin/amac079</v>
      </c>
      <c r="C249">
        <v>7</v>
      </c>
      <c r="D249" s="4" t="s">
        <v>3050</v>
      </c>
      <c r="E249" s="4" t="str">
        <f>'[3]rio results'!M249</f>
        <v>10.2196/43548</v>
      </c>
      <c r="F249" s="4">
        <v>12</v>
      </c>
    </row>
    <row r="250" spans="1:6" x14ac:dyDescent="0.45">
      <c r="A250" t="s">
        <v>3051</v>
      </c>
      <c r="B250" t="str">
        <f>_xlfn.REGEXREPLACE([3]query3!B250, "https://doi.org/", "")</f>
        <v>10.3389/fnbeh.2020.00097</v>
      </c>
      <c r="C250">
        <v>7</v>
      </c>
      <c r="D250" s="4" t="s">
        <v>2970</v>
      </c>
      <c r="E250" s="4" t="str">
        <f>'[3]rio results'!M250</f>
        <v>10.1080/10584609.2022.2137743</v>
      </c>
      <c r="F250" s="4">
        <v>12</v>
      </c>
    </row>
    <row r="251" spans="1:6" x14ac:dyDescent="0.45">
      <c r="A251" t="s">
        <v>3052</v>
      </c>
      <c r="B251" t="str">
        <f>_xlfn.REGEXREPLACE([3]query3!B251, "https://doi.org/", "")</f>
        <v>10.1017/s0033291720004444</v>
      </c>
      <c r="C251">
        <v>7</v>
      </c>
      <c r="D251" s="4" t="s">
        <v>2928</v>
      </c>
      <c r="E251" s="4" t="str">
        <f>'[3]rio results'!M251</f>
        <v>10.3390/ijerph192214857</v>
      </c>
      <c r="F251" s="4">
        <v>12</v>
      </c>
    </row>
    <row r="252" spans="1:6" x14ac:dyDescent="0.45">
      <c r="A252" t="s">
        <v>3053</v>
      </c>
      <c r="B252" t="str">
        <f>_xlfn.REGEXREPLACE([3]query3!B252, "https://doi.org/", "")</f>
        <v>10.1097/mlr.0000000000001335</v>
      </c>
      <c r="C252">
        <v>7</v>
      </c>
      <c r="D252" s="4" t="s">
        <v>3054</v>
      </c>
      <c r="E252" s="4" t="str">
        <f>'[3]rio results'!M252</f>
        <v>10.1287/isre.2022.1100</v>
      </c>
      <c r="F252" s="4">
        <v>12</v>
      </c>
    </row>
    <row r="253" spans="1:6" x14ac:dyDescent="0.45">
      <c r="A253" t="s">
        <v>3055</v>
      </c>
      <c r="B253" t="str">
        <f>_xlfn.REGEXREPLACE([3]query3!B253, "https://doi.org/", "")</f>
        <v>10.1136/bmjopen-2022-066522</v>
      </c>
      <c r="C253">
        <v>7</v>
      </c>
      <c r="D253" s="4" t="s">
        <v>2900</v>
      </c>
      <c r="E253" s="4" t="str">
        <f>'[3]rio results'!M253</f>
        <v>10.3390/su14138132</v>
      </c>
      <c r="F253" s="4">
        <v>12</v>
      </c>
    </row>
    <row r="254" spans="1:6" x14ac:dyDescent="0.45">
      <c r="A254" t="s">
        <v>3056</v>
      </c>
      <c r="B254" t="str">
        <f>_xlfn.REGEXREPLACE([3]query3!B254, "https://doi.org/", "")</f>
        <v>10.1002/jcop.22455</v>
      </c>
      <c r="C254">
        <v>7</v>
      </c>
      <c r="D254" s="4" t="s">
        <v>3057</v>
      </c>
      <c r="E254" s="4" t="str">
        <f>'[3]rio results'!M254</f>
        <v>10.1353/seo.2022.0002</v>
      </c>
      <c r="F254" s="4">
        <v>12</v>
      </c>
    </row>
    <row r="255" spans="1:6" x14ac:dyDescent="0.45">
      <c r="A255" t="s">
        <v>3058</v>
      </c>
      <c r="B255" t="str">
        <f>_xlfn.REGEXREPLACE([3]query3!B255, "https://doi.org/", "")</f>
        <v>10.1007/s13178-020-00452-y</v>
      </c>
      <c r="C255">
        <v>7</v>
      </c>
      <c r="D255" s="4" t="s">
        <v>3059</v>
      </c>
      <c r="E255" s="4" t="str">
        <f>'[3]rio results'!M255</f>
        <v>10.1057/s41311-021-00309-0</v>
      </c>
      <c r="F255" s="4">
        <v>12</v>
      </c>
    </row>
    <row r="256" spans="1:6" x14ac:dyDescent="0.45">
      <c r="A256" t="s">
        <v>3060</v>
      </c>
      <c r="B256" t="str">
        <f>_xlfn.REGEXREPLACE([3]query3!B256, "https://doi.org/", "")</f>
        <v>10.1145/3447548.3470818</v>
      </c>
      <c r="C256">
        <v>7</v>
      </c>
      <c r="D256" s="4" t="s">
        <v>3061</v>
      </c>
      <c r="E256" s="4" t="str">
        <f>'[3]rio results'!M256</f>
        <v>10.1016/j.jue.2021.103405</v>
      </c>
      <c r="F256" s="4">
        <v>12</v>
      </c>
    </row>
    <row r="257" spans="1:6" x14ac:dyDescent="0.45">
      <c r="A257" t="s">
        <v>3062</v>
      </c>
      <c r="B257" t="str">
        <f>_xlfn.REGEXREPLACE([3]query3!B257, "https://doi.org/", "")</f>
        <v>10.1016/j.ijlp.2023.101908</v>
      </c>
      <c r="C257">
        <v>7</v>
      </c>
      <c r="D257" s="4" t="s">
        <v>2852</v>
      </c>
      <c r="E257" s="4" t="str">
        <f>'[3]rio results'!M257</f>
        <v>10.1139/FACETS-2021-0133</v>
      </c>
      <c r="F257" s="4">
        <v>12</v>
      </c>
    </row>
    <row r="258" spans="1:6" x14ac:dyDescent="0.45">
      <c r="A258" t="s">
        <v>3063</v>
      </c>
      <c r="B258" t="str">
        <f>_xlfn.REGEXREPLACE([3]query3!B258, "https://doi.org/", "")</f>
        <v>10.3389/fpsyg.2023.1181872</v>
      </c>
      <c r="C258">
        <v>7</v>
      </c>
      <c r="D258" s="4" t="s">
        <v>3064</v>
      </c>
      <c r="E258" s="4" t="str">
        <f>'[3]rio results'!M258</f>
        <v>10.3390/ijerph19010005</v>
      </c>
      <c r="F258" s="4">
        <v>12</v>
      </c>
    </row>
    <row r="259" spans="1:6" x14ac:dyDescent="0.45">
      <c r="A259" t="s">
        <v>3065</v>
      </c>
      <c r="B259" t="str">
        <f>_xlfn.REGEXREPLACE([3]query3!B259, "https://doi.org/", "")</f>
        <v>10.1080/02673037.2021.1900548</v>
      </c>
      <c r="C259">
        <v>7</v>
      </c>
      <c r="D259" s="4" t="s">
        <v>3066</v>
      </c>
      <c r="E259" s="4" t="str">
        <f>'[3]rio results'!M259</f>
        <v>10.1080/03003930.2020.1857246</v>
      </c>
      <c r="F259" s="4">
        <v>12</v>
      </c>
    </row>
    <row r="260" spans="1:6" x14ac:dyDescent="0.45">
      <c r="A260" t="s">
        <v>3067</v>
      </c>
      <c r="B260" t="str">
        <f>_xlfn.REGEXREPLACE([3]query3!B260, "https://doi.org/", "")</f>
        <v>10.5210/spir.v2021i0.12093</v>
      </c>
      <c r="C260">
        <v>7</v>
      </c>
      <c r="D260" s="4" t="s">
        <v>2904</v>
      </c>
      <c r="E260" s="4" t="str">
        <f>'[3]rio results'!M260</f>
        <v>10.1080/0735648X.2020.1856706</v>
      </c>
      <c r="F260" s="4">
        <v>12</v>
      </c>
    </row>
    <row r="261" spans="1:6" x14ac:dyDescent="0.45">
      <c r="A261" t="s">
        <v>3068</v>
      </c>
      <c r="B261" t="str">
        <f>_xlfn.REGEXREPLACE([3]query3!B261, "https://doi.org/", "")</f>
        <v>10.1111/tgis.12712</v>
      </c>
      <c r="C261">
        <v>7</v>
      </c>
      <c r="D261" s="4" t="s">
        <v>3069</v>
      </c>
      <c r="E261" s="4" t="str">
        <f>'[3]rio results'!M261</f>
        <v>10.1177/0886260518789142</v>
      </c>
      <c r="F261" s="4">
        <v>12</v>
      </c>
    </row>
    <row r="262" spans="1:6" x14ac:dyDescent="0.45">
      <c r="A262" t="s">
        <v>3070</v>
      </c>
      <c r="B262" t="str">
        <f>_xlfn.REGEXREPLACE([3]query3!B262, "https://doi.org/", "")</f>
        <v>10.1109/tnse.2023.3330450</v>
      </c>
      <c r="C262">
        <v>7</v>
      </c>
      <c r="D262" s="4" t="s">
        <v>3071</v>
      </c>
      <c r="E262" s="4" t="str">
        <f>'[3]rio results'!M262</f>
        <v>10.1016/j.addbeh.2020.106793</v>
      </c>
      <c r="F262" s="4">
        <v>12</v>
      </c>
    </row>
    <row r="263" spans="1:6" x14ac:dyDescent="0.45">
      <c r="A263" t="s">
        <v>3072</v>
      </c>
      <c r="B263" t="str">
        <f>_xlfn.REGEXREPLACE([3]query3!B263, "https://doi.org/", "")</f>
        <v>10.1080/17440572.2022.2068525</v>
      </c>
      <c r="C263">
        <v>7</v>
      </c>
      <c r="D263" s="4" t="s">
        <v>3073</v>
      </c>
      <c r="E263" s="4" t="str">
        <f>'[3]rio results'!M263</f>
        <v>10.1136/bmjopen-2020-045862</v>
      </c>
      <c r="F263" s="4">
        <v>12</v>
      </c>
    </row>
    <row r="264" spans="1:6" x14ac:dyDescent="0.45">
      <c r="A264" t="s">
        <v>3074</v>
      </c>
      <c r="B264" t="str">
        <f>_xlfn.REGEXREPLACE([3]query3!B264, "https://doi.org/", "")</f>
        <v>10.1136/bmjgh-2022-011211</v>
      </c>
      <c r="C264">
        <v>7</v>
      </c>
      <c r="D264" s="4" t="s">
        <v>3075</v>
      </c>
      <c r="E264" s="4" t="str">
        <f>'[3]rio results'!M264</f>
        <v>10.1146/annurev-lawsocsci-021020-105357</v>
      </c>
      <c r="F264" s="4">
        <v>12</v>
      </c>
    </row>
    <row r="265" spans="1:6" x14ac:dyDescent="0.45">
      <c r="A265" t="s">
        <v>3076</v>
      </c>
      <c r="B265" t="str">
        <f>_xlfn.REGEXREPLACE([3]query3!B265, "https://doi.org/", "")</f>
        <v>10.1080/07418825.2020.1856399</v>
      </c>
      <c r="C265">
        <v>7</v>
      </c>
      <c r="D265" s="4" t="s">
        <v>2887</v>
      </c>
      <c r="E265" s="4" t="str">
        <f>'[3]rio results'!M265</f>
        <v>10.37016/mr-2020-40</v>
      </c>
      <c r="F265" s="4">
        <v>12</v>
      </c>
    </row>
    <row r="266" spans="1:6" x14ac:dyDescent="0.45">
      <c r="A266" t="s">
        <v>3077</v>
      </c>
      <c r="B266" t="str">
        <f>_xlfn.REGEXREPLACE([3]query3!B266, "https://doi.org/", "")</f>
        <v>10.1080/19317611.2023.2201841</v>
      </c>
      <c r="C266">
        <v>7</v>
      </c>
      <c r="D266" s="4" t="s">
        <v>3078</v>
      </c>
      <c r="E266" s="4" t="str">
        <f>'[3]rio results'!M266</f>
        <v>10.5840/techne2020210116</v>
      </c>
      <c r="F266" s="4">
        <v>12</v>
      </c>
    </row>
    <row r="267" spans="1:6" x14ac:dyDescent="0.45">
      <c r="A267" t="s">
        <v>3079</v>
      </c>
      <c r="B267" t="str">
        <f>_xlfn.REGEXREPLACE([3]query3!B267, "https://doi.org/", "")</f>
        <v>10.1080/21622671.2023.2243996</v>
      </c>
      <c r="C267">
        <v>7</v>
      </c>
      <c r="D267" s="4" t="s">
        <v>3080</v>
      </c>
      <c r="E267" s="4" t="str">
        <f>'[3]rio results'!M267</f>
        <v>10.1111/corg.12480</v>
      </c>
      <c r="F267" s="4">
        <v>11</v>
      </c>
    </row>
    <row r="268" spans="1:6" x14ac:dyDescent="0.45">
      <c r="A268" t="s">
        <v>3081</v>
      </c>
      <c r="B268" t="str">
        <f>_xlfn.REGEXREPLACE([3]query3!B268, "https://doi.org/", "")</f>
        <v>10.1177/20539517231164118</v>
      </c>
      <c r="C268">
        <v>7</v>
      </c>
      <c r="D268" s="4" t="s">
        <v>3082</v>
      </c>
      <c r="E268" s="4" t="str">
        <f>'[3]rio results'!M268</f>
        <v>10.1177/14687984221124179</v>
      </c>
      <c r="F268" s="4">
        <v>11</v>
      </c>
    </row>
    <row r="269" spans="1:6" x14ac:dyDescent="0.45">
      <c r="A269" t="s">
        <v>3083</v>
      </c>
      <c r="B269" t="str">
        <f>_xlfn.REGEXREPLACE([3]query3!B269, "https://doi.org/", "")</f>
        <v>10.3390/socsci12100549</v>
      </c>
      <c r="C269">
        <v>7</v>
      </c>
      <c r="D269" s="4" t="s">
        <v>3084</v>
      </c>
      <c r="E269" s="4" t="str">
        <f>'[3]rio results'!M269</f>
        <v>10.1007/s43621-022-00081-y</v>
      </c>
      <c r="F269" s="4">
        <v>11</v>
      </c>
    </row>
    <row r="270" spans="1:6" x14ac:dyDescent="0.45">
      <c r="A270" t="s">
        <v>3085</v>
      </c>
      <c r="B270" t="str">
        <f>_xlfn.REGEXREPLACE([3]query3!B270, "https://doi.org/", "")</f>
        <v>10.1177/00207020221076402</v>
      </c>
      <c r="C270">
        <v>6</v>
      </c>
      <c r="D270" s="4" t="s">
        <v>2832</v>
      </c>
      <c r="E270" s="4" t="str">
        <f>'[3]rio results'!M270</f>
        <v>10.1093/isq/sqac048</v>
      </c>
      <c r="F270" s="4">
        <v>11</v>
      </c>
    </row>
    <row r="271" spans="1:6" x14ac:dyDescent="0.45">
      <c r="A271" t="s">
        <v>3086</v>
      </c>
      <c r="B271" t="str">
        <f>_xlfn.REGEXREPLACE([3]query3!B271, "https://doi.org/", "")</f>
        <v>10.1097/j.pain.0000000000002619</v>
      </c>
      <c r="C271">
        <v>6</v>
      </c>
      <c r="D271" s="4" t="s">
        <v>3087</v>
      </c>
      <c r="E271" s="4" t="str">
        <f>'[3]rio results'!M271</f>
        <v>10.1111/lcrp.12211</v>
      </c>
      <c r="F271" s="4">
        <v>11</v>
      </c>
    </row>
    <row r="272" spans="1:6" x14ac:dyDescent="0.45">
      <c r="A272" t="s">
        <v>3088</v>
      </c>
      <c r="B272" t="str">
        <f>_xlfn.REGEXREPLACE([3]query3!B272, "https://doi.org/", "")</f>
        <v>10.1186/s12889-024-20597-4</v>
      </c>
      <c r="C272">
        <v>6</v>
      </c>
      <c r="D272" s="4" t="s">
        <v>3089</v>
      </c>
      <c r="E272" s="4" t="str">
        <f>'[3]rio results'!M272</f>
        <v>10.4324/9781003163954</v>
      </c>
      <c r="F272" s="4">
        <v>11</v>
      </c>
    </row>
    <row r="273" spans="1:6" x14ac:dyDescent="0.45">
      <c r="A273" t="s">
        <v>3090</v>
      </c>
      <c r="B273" t="str">
        <f>_xlfn.REGEXREPLACE([3]query3!B273, "https://doi.org/", "")</f>
        <v>10.1590/scielopreprints.7366</v>
      </c>
      <c r="C273">
        <v>6</v>
      </c>
      <c r="D273" s="4" t="s">
        <v>3091</v>
      </c>
      <c r="E273" s="4" t="str">
        <f>'[3]rio results'!M273</f>
        <v>10.1016/j.drugalcdep.2022.109441</v>
      </c>
      <c r="F273" s="4">
        <v>11</v>
      </c>
    </row>
    <row r="274" spans="1:6" x14ac:dyDescent="0.45">
      <c r="A274" t="s">
        <v>3092</v>
      </c>
      <c r="B274" t="str">
        <f>_xlfn.REGEXREPLACE([3]query3!B274, "https://doi.org/", "")</f>
        <v>10.1186/s12889-022-12903-9</v>
      </c>
      <c r="C274">
        <v>6</v>
      </c>
      <c r="D274" s="4" t="s">
        <v>2931</v>
      </c>
      <c r="E274" s="4" t="str">
        <f>'[3]rio results'!M274</f>
        <v>10.1080/23748834.2021.1926657</v>
      </c>
      <c r="F274" s="4">
        <v>11</v>
      </c>
    </row>
    <row r="275" spans="1:6" x14ac:dyDescent="0.45">
      <c r="A275" t="s">
        <v>3093</v>
      </c>
      <c r="B275" t="str">
        <f>_xlfn.REGEXREPLACE([3]query3!B275, "https://doi.org/", "")</f>
        <v>10.1215/9781478024408</v>
      </c>
      <c r="C275">
        <v>6</v>
      </c>
      <c r="D275" s="4" t="s">
        <v>2865</v>
      </c>
      <c r="E275" s="4" t="str">
        <f>'[3]rio results'!M275</f>
        <v>10.1186/s12888-021-03142-0</v>
      </c>
      <c r="F275" s="4">
        <v>11</v>
      </c>
    </row>
    <row r="276" spans="1:6" x14ac:dyDescent="0.45">
      <c r="A276" t="s">
        <v>3094</v>
      </c>
      <c r="B276" t="str">
        <f>_xlfn.REGEXREPLACE([3]query3!B276, "https://doi.org/", "")</f>
        <v>10.1080/23311886.2022.2117927</v>
      </c>
      <c r="C276">
        <v>6</v>
      </c>
      <c r="D276" s="4" t="s">
        <v>3095</v>
      </c>
      <c r="E276" s="4" t="str">
        <f>'[3]rio results'!M276</f>
        <v>10.1515/opis-2020-0118</v>
      </c>
      <c r="F276" s="4">
        <v>11</v>
      </c>
    </row>
    <row r="277" spans="1:6" x14ac:dyDescent="0.45">
      <c r="A277" t="s">
        <v>3096</v>
      </c>
      <c r="B277" t="str">
        <f>_xlfn.REGEXREPLACE([3]query3!B277, "https://doi.org/", "")</f>
        <v>10.1386/eta_00050_3</v>
      </c>
      <c r="C277">
        <v>6</v>
      </c>
      <c r="D277" s="4" t="s">
        <v>2974</v>
      </c>
      <c r="E277" s="4" t="str">
        <f>'[3]rio results'!M277</f>
        <v>10.1007/s40615-023-01598-2</v>
      </c>
      <c r="F277" s="4">
        <v>10</v>
      </c>
    </row>
    <row r="278" spans="1:6" x14ac:dyDescent="0.45">
      <c r="A278" t="s">
        <v>3097</v>
      </c>
      <c r="B278" t="str">
        <f>_xlfn.REGEXREPLACE([3]query3!B278, "https://doi.org/", "")</f>
        <v>10.1016/j.ssmqr.2022.100192</v>
      </c>
      <c r="C278">
        <v>6</v>
      </c>
      <c r="D278" s="4" t="s">
        <v>3015</v>
      </c>
      <c r="E278" s="4" t="str">
        <f>'[3]rio results'!M278</f>
        <v>10.1093/geront/gnad151</v>
      </c>
      <c r="F278" s="4">
        <v>10</v>
      </c>
    </row>
    <row r="279" spans="1:6" x14ac:dyDescent="0.45">
      <c r="A279" t="s">
        <v>3098</v>
      </c>
      <c r="B279" t="str">
        <f>_xlfn.REGEXREPLACE([3]query3!B279, "https://doi.org/", "")</f>
        <v>10.1002/jip.1604</v>
      </c>
      <c r="C279">
        <v>6</v>
      </c>
      <c r="D279" s="4" t="s">
        <v>3099</v>
      </c>
      <c r="E279" s="4" t="str">
        <f>'[3]rio results'!M279</f>
        <v>10.1016/j.jclepro.2024.141264</v>
      </c>
      <c r="F279" s="4">
        <v>10</v>
      </c>
    </row>
    <row r="280" spans="1:6" x14ac:dyDescent="0.45">
      <c r="A280" t="s">
        <v>3100</v>
      </c>
      <c r="B280" t="str">
        <f>_xlfn.REGEXREPLACE([3]query3!B280, "https://doi.org/", "")</f>
        <v>10.1111/capa.12543</v>
      </c>
      <c r="C280">
        <v>6</v>
      </c>
      <c r="D280" s="4" t="s">
        <v>2948</v>
      </c>
      <c r="E280" s="4" t="str">
        <f>'[3]rio results'!M280</f>
        <v>10.1016/j.tree.2024.01.001</v>
      </c>
      <c r="F280" s="4">
        <v>10</v>
      </c>
    </row>
    <row r="281" spans="1:6" x14ac:dyDescent="0.45">
      <c r="A281" t="s">
        <v>3101</v>
      </c>
      <c r="B281" t="str">
        <f>_xlfn.REGEXREPLACE([3]query3!B281, "https://doi.org/", "")</f>
        <v>10.1080/10530789.2023.2174565</v>
      </c>
      <c r="C281">
        <v>6</v>
      </c>
      <c r="D281" s="4" t="s">
        <v>3102</v>
      </c>
      <c r="E281" s="4" t="str">
        <f>'[3]rio results'!M281</f>
        <v>10.1186/s12966-023-01533-y</v>
      </c>
      <c r="F281" s="4">
        <v>10</v>
      </c>
    </row>
    <row r="282" spans="1:6" x14ac:dyDescent="0.45">
      <c r="A282" t="s">
        <v>3103</v>
      </c>
      <c r="B282" t="str">
        <f>_xlfn.REGEXREPLACE([3]query3!B282, "https://doi.org/", "")</f>
        <v>10.1057/s41599-024-03804-w</v>
      </c>
      <c r="C282">
        <v>6</v>
      </c>
      <c r="D282" s="4" t="s">
        <v>2915</v>
      </c>
      <c r="E282" s="4" t="str">
        <f>'[3]rio results'!M282</f>
        <v>10.1186/s12954-023-00852-4</v>
      </c>
      <c r="F282" s="4">
        <v>10</v>
      </c>
    </row>
    <row r="283" spans="1:6" x14ac:dyDescent="0.45">
      <c r="A283" t="s">
        <v>3104</v>
      </c>
      <c r="B283" t="str">
        <f>_xlfn.REGEXREPLACE([3]query3!B283, "https://doi.org/", "")</f>
        <v/>
      </c>
      <c r="C283">
        <v>6</v>
      </c>
      <c r="D283" s="4" t="s">
        <v>3105</v>
      </c>
      <c r="E283" s="4" t="str">
        <f>'[3]rio results'!M283</f>
        <v>10.1186/s12889-023-15955-7</v>
      </c>
      <c r="F283" s="4">
        <v>10</v>
      </c>
    </row>
    <row r="284" spans="1:6" x14ac:dyDescent="0.45">
      <c r="A284" t="s">
        <v>3106</v>
      </c>
      <c r="B284" t="str">
        <f>_xlfn.REGEXREPLACE([3]query3!B284, "https://doi.org/", "")</f>
        <v>10.1080/10826084.2021.1958865</v>
      </c>
      <c r="C284">
        <v>6</v>
      </c>
      <c r="D284" s="4" t="s">
        <v>3107</v>
      </c>
      <c r="E284" s="4" t="str">
        <f>'[3]rio results'!M284</f>
        <v>10.1007/s42330-023-00276-z</v>
      </c>
      <c r="F284" s="4">
        <v>10</v>
      </c>
    </row>
    <row r="285" spans="1:6" x14ac:dyDescent="0.45">
      <c r="A285" t="s">
        <v>3108</v>
      </c>
      <c r="B285" t="str">
        <f>_xlfn.REGEXREPLACE([3]query3!B285, "https://doi.org/", "")</f>
        <v>10.1017/s0144686x21000477</v>
      </c>
      <c r="C285">
        <v>6</v>
      </c>
      <c r="D285" s="4" t="s">
        <v>3109</v>
      </c>
      <c r="E285" s="4" t="str">
        <f>'[3]rio results'!M285</f>
        <v>10.1177/14651165221123155</v>
      </c>
      <c r="F285" s="4">
        <v>10</v>
      </c>
    </row>
    <row r="286" spans="1:6" x14ac:dyDescent="0.45">
      <c r="A286" t="s">
        <v>3110</v>
      </c>
      <c r="B286" t="str">
        <f>_xlfn.REGEXREPLACE([3]query3!B286, "https://doi.org/", "")</f>
        <v>10.1080/09540121.2021.1929813</v>
      </c>
      <c r="C286">
        <v>6</v>
      </c>
      <c r="D286" s="4" t="s">
        <v>3111</v>
      </c>
      <c r="E286" s="4" t="str">
        <f>'[3]rio results'!M286</f>
        <v>10.1177/07067437221136468</v>
      </c>
      <c r="F286" s="4">
        <v>10</v>
      </c>
    </row>
    <row r="287" spans="1:6" x14ac:dyDescent="0.45">
      <c r="A287" t="s">
        <v>3112</v>
      </c>
      <c r="B287" t="str">
        <f>_xlfn.REGEXREPLACE([3]query3!B287, "https://doi.org/", "")</f>
        <v>10.1093/fsr/owad048</v>
      </c>
      <c r="C287">
        <v>6</v>
      </c>
      <c r="D287" s="4" t="s">
        <v>3113</v>
      </c>
      <c r="E287" s="4" t="str">
        <f>'[3]rio results'!M287</f>
        <v>10.1371/journal.pgph.0001131</v>
      </c>
      <c r="F287" s="4">
        <v>10</v>
      </c>
    </row>
    <row r="288" spans="1:6" x14ac:dyDescent="0.45">
      <c r="A288" t="s">
        <v>3114</v>
      </c>
      <c r="B288" t="str">
        <f>_xlfn.REGEXREPLACE([3]query3!B288, "https://doi.org/", "")</f>
        <v>10.1177/08862605221118611</v>
      </c>
      <c r="C288">
        <v>6</v>
      </c>
      <c r="D288" s="4" t="s">
        <v>3115</v>
      </c>
      <c r="E288" s="4" t="str">
        <f>'[3]rio results'!M288</f>
        <v>10.1108/978-1-80262-985-920221004</v>
      </c>
      <c r="F288" s="4">
        <v>10</v>
      </c>
    </row>
    <row r="289" spans="1:6" x14ac:dyDescent="0.45">
      <c r="A289" t="s">
        <v>3116</v>
      </c>
      <c r="B289" t="str">
        <f>_xlfn.REGEXREPLACE([3]query3!B289, "https://doi.org/", "")</f>
        <v>10.1007/s10584-020-02777-4</v>
      </c>
      <c r="C289">
        <v>6</v>
      </c>
      <c r="D289" s="4" t="s">
        <v>3117</v>
      </c>
      <c r="E289" s="4" t="str">
        <f>'[3]rio results'!M289</f>
        <v>10.4337/9781839106606.00030</v>
      </c>
      <c r="F289" s="4">
        <v>10</v>
      </c>
    </row>
    <row r="290" spans="1:6" x14ac:dyDescent="0.45">
      <c r="A290" t="s">
        <v>3118</v>
      </c>
      <c r="B290" t="str">
        <f>_xlfn.REGEXREPLACE([3]query3!B290, "https://doi.org/", "")</f>
        <v>10.1215/00219118-10849752</v>
      </c>
      <c r="C290">
        <v>6</v>
      </c>
      <c r="D290" s="4" t="s">
        <v>3119</v>
      </c>
      <c r="E290" s="4" t="str">
        <f>'[3]rio results'!M290</f>
        <v>10.3390/ijerph182212152</v>
      </c>
      <c r="F290" s="4">
        <v>10</v>
      </c>
    </row>
    <row r="291" spans="1:6" x14ac:dyDescent="0.45">
      <c r="A291" t="s">
        <v>3120</v>
      </c>
      <c r="B291" t="str">
        <f>_xlfn.REGEXREPLACE([3]query3!B291, "https://doi.org/", "")</f>
        <v>10.1002/gps.5985</v>
      </c>
      <c r="C291">
        <v>5</v>
      </c>
      <c r="D291" s="4" t="s">
        <v>3121</v>
      </c>
      <c r="E291" s="4" t="str">
        <f>'[3]rio results'!M291</f>
        <v>10.1071/SH21116</v>
      </c>
      <c r="F291" s="4">
        <v>10</v>
      </c>
    </row>
    <row r="292" spans="1:6" x14ac:dyDescent="0.45">
      <c r="A292" t="s">
        <v>3122</v>
      </c>
      <c r="B292" t="str">
        <f>_xlfn.REGEXREPLACE([3]query3!B292, "https://doi.org/", "")</f>
        <v>10.5206/ijoh.2022.1.13455</v>
      </c>
      <c r="C292">
        <v>5</v>
      </c>
      <c r="D292" s="4" t="s">
        <v>2994</v>
      </c>
      <c r="E292" s="4" t="str">
        <f>'[3]rio results'!M292</f>
        <v>10.1177/1363459320912808</v>
      </c>
      <c r="F292" s="4">
        <v>10</v>
      </c>
    </row>
    <row r="293" spans="1:6" x14ac:dyDescent="0.45">
      <c r="A293" t="s">
        <v>3123</v>
      </c>
      <c r="B293" t="str">
        <f>_xlfn.REGEXREPLACE([3]query3!B293, "https://doi.org/", "")</f>
        <v>10.3390/nu14224882</v>
      </c>
      <c r="C293">
        <v>5</v>
      </c>
      <c r="D293" s="4" t="s">
        <v>3025</v>
      </c>
      <c r="E293" s="4" t="str">
        <f>'[3]rio results'!M293</f>
        <v>10.3390/jrfm14080375</v>
      </c>
      <c r="F293" s="4">
        <v>10</v>
      </c>
    </row>
    <row r="294" spans="1:6" x14ac:dyDescent="0.45">
      <c r="A294" t="s">
        <v>3124</v>
      </c>
      <c r="B294" t="str">
        <f>_xlfn.REGEXREPLACE([3]query3!B294, "https://doi.org/", "")</f>
        <v>10.1007/978-3-030-57089-7_12</v>
      </c>
      <c r="C294">
        <v>5</v>
      </c>
      <c r="D294" s="4" t="s">
        <v>2873</v>
      </c>
      <c r="E294" s="4" t="str">
        <f>'[3]rio results'!M294</f>
        <v>10.1002/berj.3730</v>
      </c>
      <c r="F294" s="4">
        <v>10</v>
      </c>
    </row>
    <row r="295" spans="1:6" x14ac:dyDescent="0.45">
      <c r="A295" t="s">
        <v>3125</v>
      </c>
      <c r="B295" t="str">
        <f>_xlfn.REGEXREPLACE([3]query3!B295, "https://doi.org/", "")</f>
        <v>10.1016/j.jadr.2021.100229</v>
      </c>
      <c r="C295">
        <v>5</v>
      </c>
      <c r="D295" s="4" t="s">
        <v>3126</v>
      </c>
      <c r="E295" s="4" t="str">
        <f>'[3]rio results'!M295</f>
        <v>10.1080/07900627.2019.1662379</v>
      </c>
      <c r="F295" s="4">
        <v>10</v>
      </c>
    </row>
    <row r="296" spans="1:6" x14ac:dyDescent="0.45">
      <c r="A296" t="s">
        <v>3127</v>
      </c>
      <c r="B296" t="str">
        <f>_xlfn.REGEXREPLACE([3]query3!B296, "https://doi.org/", "")</f>
        <v>10.1080/23340460.2020.1789430</v>
      </c>
      <c r="C296">
        <v>5</v>
      </c>
      <c r="D296" s="4" t="s">
        <v>3128</v>
      </c>
      <c r="E296" s="4" t="str">
        <f>'[3]rio results'!M296</f>
        <v>10.1016/j.drugpo.2020.102967</v>
      </c>
      <c r="F296" s="4">
        <v>10</v>
      </c>
    </row>
    <row r="297" spans="1:6" x14ac:dyDescent="0.45">
      <c r="A297" t="s">
        <v>3129</v>
      </c>
      <c r="B297" t="str">
        <f>_xlfn.REGEXREPLACE([3]query3!B297, "https://doi.org/", "")</f>
        <v>10.1017/psrm.2022.46</v>
      </c>
      <c r="C297">
        <v>5</v>
      </c>
      <c r="D297" s="4" t="s">
        <v>2844</v>
      </c>
      <c r="E297" s="4" t="str">
        <f>'[3]rio results'!M297</f>
        <v>10.1080/08111146.2020.1768841</v>
      </c>
      <c r="F297" s="4">
        <v>10</v>
      </c>
    </row>
    <row r="298" spans="1:6" x14ac:dyDescent="0.45">
      <c r="A298" t="s">
        <v>3130</v>
      </c>
      <c r="B298" t="str">
        <f>_xlfn.REGEXREPLACE([3]query3!B298, "https://doi.org/", "")</f>
        <v>10.1038/s44183-024-00093-3</v>
      </c>
      <c r="C298">
        <v>5</v>
      </c>
      <c r="D298" s="4" t="s">
        <v>2987</v>
      </c>
      <c r="E298" s="4" t="str">
        <f>'[3]rio results'!M298</f>
        <v>10.1186/s12913-024-11549-0</v>
      </c>
      <c r="F298" s="4">
        <v>9</v>
      </c>
    </row>
    <row r="299" spans="1:6" x14ac:dyDescent="0.45">
      <c r="A299" t="s">
        <v>3131</v>
      </c>
      <c r="B299" t="str">
        <f>_xlfn.REGEXREPLACE([3]query3!B299, "https://doi.org/", "")</f>
        <v>10.1177/0044118x221140929</v>
      </c>
      <c r="C299">
        <v>5</v>
      </c>
      <c r="D299" s="4" t="s">
        <v>3132</v>
      </c>
      <c r="E299" s="4" t="str">
        <f>'[3]rio results'!M299</f>
        <v>10.1186/s13002-024-00693-w</v>
      </c>
      <c r="F299" s="4">
        <v>9</v>
      </c>
    </row>
    <row r="300" spans="1:6" x14ac:dyDescent="0.45">
      <c r="A300" t="s">
        <v>3133</v>
      </c>
      <c r="B300" t="str">
        <f>_xlfn.REGEXREPLACE([3]query3!B300, "https://doi.org/", "")</f>
        <v>10.1038/s41598-021-96186-x</v>
      </c>
      <c r="C300">
        <v>5</v>
      </c>
      <c r="D300" s="4" t="s">
        <v>3134</v>
      </c>
      <c r="E300" s="4" t="str">
        <f>'[3]rio results'!M300</f>
        <v>10.1016/j.socscimed.2024.117274</v>
      </c>
      <c r="F300" s="4">
        <v>9</v>
      </c>
    </row>
    <row r="301" spans="1:6" x14ac:dyDescent="0.45">
      <c r="A301" t="s">
        <v>3135</v>
      </c>
      <c r="B301" t="str">
        <f>_xlfn.REGEXREPLACE([3]query3!B301, "https://doi.org/", "")</f>
        <v>10.3389/phrs.2023.1606110</v>
      </c>
      <c r="C301">
        <v>5</v>
      </c>
      <c r="D301" s="4" t="s">
        <v>3136</v>
      </c>
      <c r="E301" s="4" t="str">
        <f>'[3]rio results'!M301</f>
        <v>10.1111/1467-8500.12595</v>
      </c>
      <c r="F301" s="4">
        <v>9</v>
      </c>
    </row>
    <row r="302" spans="1:6" x14ac:dyDescent="0.45">
      <c r="A302" t="s">
        <v>3137</v>
      </c>
      <c r="B302" t="str">
        <f>_xlfn.REGEXREPLACE([3]query3!B302, "https://doi.org/", "")</f>
        <v>10.1080/03003930.2022.2045277</v>
      </c>
      <c r="C302">
        <v>5</v>
      </c>
      <c r="D302" s="4" t="s">
        <v>3138</v>
      </c>
      <c r="E302" s="4" t="str">
        <f>'[3]rio results'!M302</f>
        <v>10.1016/j.oneear.2024.02.009</v>
      </c>
      <c r="F302" s="4">
        <v>9</v>
      </c>
    </row>
    <row r="303" spans="1:6" x14ac:dyDescent="0.45">
      <c r="A303" t="s">
        <v>3139</v>
      </c>
      <c r="B303" t="str">
        <f>_xlfn.REGEXREPLACE([3]query3!B303, "https://doi.org/", "")</f>
        <v>10.51291/2377-7478.1648</v>
      </c>
      <c r="C303">
        <v>5</v>
      </c>
      <c r="D303" s="4" t="s">
        <v>690</v>
      </c>
      <c r="E303" s="4" t="str">
        <f>'[3]rio results'!M303</f>
        <v>10.1109/LGRS.2024.3354560</v>
      </c>
      <c r="F303" s="4">
        <v>9</v>
      </c>
    </row>
    <row r="304" spans="1:6" x14ac:dyDescent="0.45">
      <c r="A304" t="s">
        <v>3140</v>
      </c>
      <c r="B304" t="str">
        <f>_xlfn.REGEXREPLACE([3]query3!B304, "https://doi.org/", "")</f>
        <v>10.1007/s00267-020-01384-4</v>
      </c>
      <c r="C304">
        <v>5</v>
      </c>
      <c r="D304" s="4" t="s">
        <v>2968</v>
      </c>
      <c r="E304" s="4" t="str">
        <f>'[3]rio results'!M304</f>
        <v>10.1016/j.drugpo.2023.104117</v>
      </c>
      <c r="F304" s="4">
        <v>9</v>
      </c>
    </row>
    <row r="305" spans="1:6" x14ac:dyDescent="0.45">
      <c r="A305" t="s">
        <v>3141</v>
      </c>
      <c r="B305" t="str">
        <f>_xlfn.REGEXREPLACE([3]query3!B305, "https://doi.org/", "")</f>
        <v>10.1002/pan3.10688</v>
      </c>
      <c r="C305">
        <v>5</v>
      </c>
      <c r="D305" s="4" t="s">
        <v>3142</v>
      </c>
      <c r="E305" s="4" t="str">
        <f>'[3]rio results'!M305</f>
        <v>10.4324/9781003343431</v>
      </c>
      <c r="F305" s="4">
        <v>9</v>
      </c>
    </row>
    <row r="306" spans="1:6" x14ac:dyDescent="0.45">
      <c r="A306" t="s">
        <v>3143</v>
      </c>
      <c r="B306" t="str">
        <f>_xlfn.REGEXREPLACE([3]query3!B306, "https://doi.org/", "")</f>
        <v>10.1016/j.jdeveco.2020.102516</v>
      </c>
      <c r="C306">
        <v>5</v>
      </c>
      <c r="D306" s="4" t="s">
        <v>2982</v>
      </c>
      <c r="E306" s="4" t="str">
        <f>'[3]rio results'!M306</f>
        <v>10.2196/49416</v>
      </c>
      <c r="F306" s="4">
        <v>9</v>
      </c>
    </row>
    <row r="307" spans="1:6" x14ac:dyDescent="0.45">
      <c r="A307" t="s">
        <v>3144</v>
      </c>
      <c r="B307" t="str">
        <f>_xlfn.REGEXREPLACE([3]query3!B307, "https://doi.org/", "")</f>
        <v>10.1093/bjc/azab086</v>
      </c>
      <c r="C307">
        <v>5</v>
      </c>
      <c r="D307" s="4" t="s">
        <v>3145</v>
      </c>
      <c r="E307" s="4" t="str">
        <f>'[3]rio results'!M307</f>
        <v>10.1007/978-3-031-25689-9</v>
      </c>
      <c r="F307" s="4">
        <v>9</v>
      </c>
    </row>
    <row r="308" spans="1:6" x14ac:dyDescent="0.45">
      <c r="A308" t="s">
        <v>3146</v>
      </c>
      <c r="B308" t="str">
        <f>_xlfn.REGEXREPLACE([3]query3!B308, "https://doi.org/", "")</f>
        <v>10.1016/j.trip.2024.101062</v>
      </c>
      <c r="C308">
        <v>5</v>
      </c>
      <c r="D308" s="4" t="s">
        <v>3011</v>
      </c>
      <c r="E308" s="4" t="str">
        <f>'[3]rio results'!M308</f>
        <v>10.1177/16094069231157350</v>
      </c>
      <c r="F308" s="4">
        <v>9</v>
      </c>
    </row>
    <row r="309" spans="1:6" x14ac:dyDescent="0.45">
      <c r="A309" t="s">
        <v>3147</v>
      </c>
      <c r="B309" t="str">
        <f>_xlfn.REGEXREPLACE([3]query3!B309, "https://doi.org/", "")</f>
        <v>10.1002/leap.1599</v>
      </c>
      <c r="C309">
        <v>5</v>
      </c>
      <c r="D309" s="4" t="s">
        <v>2985</v>
      </c>
      <c r="E309" s="4" t="str">
        <f>'[3]rio results'!M309</f>
        <v>10.1007/s11524-022-00680-0</v>
      </c>
      <c r="F309" s="4">
        <v>9</v>
      </c>
    </row>
    <row r="310" spans="1:6" x14ac:dyDescent="0.45">
      <c r="A310" t="s">
        <v>3148</v>
      </c>
      <c r="B310" t="str">
        <f>_xlfn.REGEXREPLACE([3]query3!B310, "https://doi.org/", "")</f>
        <v>10.1007/978-3-031-68020-5_2</v>
      </c>
      <c r="C310">
        <v>5</v>
      </c>
      <c r="D310" s="4" t="s">
        <v>3149</v>
      </c>
      <c r="E310" s="4" t="str">
        <f>'[3]rio results'!M310</f>
        <v>10.3389/fpos.2022.834223</v>
      </c>
      <c r="F310" s="4">
        <v>9</v>
      </c>
    </row>
    <row r="311" spans="1:6" x14ac:dyDescent="0.45">
      <c r="A311" t="s">
        <v>3150</v>
      </c>
      <c r="B311" t="str">
        <f>_xlfn.REGEXREPLACE([3]query3!B311, "https://doi.org/", "")</f>
        <v>10.29173/cjnser585</v>
      </c>
      <c r="C311">
        <v>5</v>
      </c>
      <c r="D311" s="4" t="s">
        <v>3151</v>
      </c>
      <c r="E311" s="4" t="str">
        <f>'[3]rio results'!M311</f>
        <v>10.1177/07067437211000665</v>
      </c>
      <c r="F311" s="4">
        <v>9</v>
      </c>
    </row>
    <row r="312" spans="1:6" x14ac:dyDescent="0.45">
      <c r="A312" t="s">
        <v>3152</v>
      </c>
      <c r="B312" t="str">
        <f>_xlfn.REGEXREPLACE([3]query3!B312, "https://doi.org/", "")</f>
        <v>10.1080/01436597.2020.1736544</v>
      </c>
      <c r="C312">
        <v>5</v>
      </c>
      <c r="D312" s="4" t="s">
        <v>3153</v>
      </c>
      <c r="E312" s="4" t="str">
        <f>'[3]rio results'!M312</f>
        <v>10.1504/IJIMA.2022.123164</v>
      </c>
      <c r="F312" s="4">
        <v>9</v>
      </c>
    </row>
    <row r="313" spans="1:6" x14ac:dyDescent="0.45">
      <c r="A313" t="s">
        <v>3154</v>
      </c>
      <c r="B313" t="str">
        <f>_xlfn.REGEXREPLACE([3]query3!B313, "https://doi.org/", "")</f>
        <v>10.1177/07311214231193355</v>
      </c>
      <c r="C313">
        <v>5</v>
      </c>
      <c r="D313" s="4" t="s">
        <v>3155</v>
      </c>
      <c r="E313" s="4" t="str">
        <f>'[3]rio results'!M313</f>
        <v>10.1093/cjres/rsab008</v>
      </c>
      <c r="F313" s="4">
        <v>9</v>
      </c>
    </row>
    <row r="314" spans="1:6" x14ac:dyDescent="0.45">
      <c r="A314" t="s">
        <v>2773</v>
      </c>
      <c r="B314" t="str">
        <f>_xlfn.REGEXREPLACE([3]query3!B314, "https://doi.org/", "")</f>
        <v>10.1101/2022.02.03.479041</v>
      </c>
      <c r="C314">
        <v>5</v>
      </c>
      <c r="D314" s="4" t="s">
        <v>3156</v>
      </c>
      <c r="E314" s="4" t="str">
        <f>'[3]rio results'!M314</f>
        <v>10.1016/j.geoforum.2021.01.019</v>
      </c>
      <c r="F314" s="4">
        <v>9</v>
      </c>
    </row>
    <row r="315" spans="1:6" x14ac:dyDescent="0.45">
      <c r="A315" t="s">
        <v>3157</v>
      </c>
      <c r="B315" t="str">
        <f>_xlfn.REGEXREPLACE([3]query3!B315, "https://doi.org/", "")</f>
        <v>10.1017/s0008423920000888</v>
      </c>
      <c r="C315">
        <v>5</v>
      </c>
      <c r="D315" s="4" t="s">
        <v>3158</v>
      </c>
      <c r="E315" s="4">
        <f>'[3]rio results'!M315</f>
        <v>0</v>
      </c>
      <c r="F315" s="4">
        <v>9</v>
      </c>
    </row>
    <row r="316" spans="1:6" x14ac:dyDescent="0.45">
      <c r="A316" t="s">
        <v>3159</v>
      </c>
      <c r="B316" t="str">
        <f>_xlfn.REGEXREPLACE([3]query3!B316, "https://doi.org/", "")</f>
        <v>10.1111/hsc.13289</v>
      </c>
      <c r="C316">
        <v>5</v>
      </c>
      <c r="D316" s="4" t="s">
        <v>3160</v>
      </c>
      <c r="E316" s="4" t="str">
        <f>'[3]rio results'!M316</f>
        <v>10.1097/ADM.0000000000000646</v>
      </c>
      <c r="F316" s="4">
        <v>9</v>
      </c>
    </row>
    <row r="317" spans="1:6" x14ac:dyDescent="0.45">
      <c r="A317" t="s">
        <v>3161</v>
      </c>
      <c r="B317" t="str">
        <f>_xlfn.REGEXREPLACE([3]query3!B317, "https://doi.org/", "")</f>
        <v>10.33423/jhetp.v22i16.5615</v>
      </c>
      <c r="C317">
        <v>5</v>
      </c>
      <c r="D317" s="4" t="s">
        <v>3162</v>
      </c>
      <c r="E317" s="4" t="str">
        <f>'[3]rio results'!M317</f>
        <v>10.1002/9781119166900</v>
      </c>
      <c r="F317" s="4">
        <v>9</v>
      </c>
    </row>
    <row r="318" spans="1:6" x14ac:dyDescent="0.45">
      <c r="A318" t="s">
        <v>3163</v>
      </c>
      <c r="B318" t="str">
        <f>_xlfn.REGEXREPLACE([3]query3!B318, "https://doi.org/", "")</f>
        <v>10.3390/rel13040363</v>
      </c>
      <c r="C318">
        <v>5</v>
      </c>
      <c r="D318" s="4" t="s">
        <v>2998</v>
      </c>
      <c r="E318" s="4" t="str">
        <f>'[3]rio results'!M318</f>
        <v>10.5751/es-15122-290304</v>
      </c>
      <c r="F318" s="4">
        <v>8</v>
      </c>
    </row>
    <row r="319" spans="1:6" x14ac:dyDescent="0.45">
      <c r="A319" t="s">
        <v>3164</v>
      </c>
      <c r="B319" t="str">
        <f>_xlfn.REGEXREPLACE([3]query3!B319, "https://doi.org/", "")</f>
        <v>10.1007/978-3-031-47044-8_5</v>
      </c>
      <c r="C319">
        <v>5</v>
      </c>
      <c r="D319" s="4" t="s">
        <v>3165</v>
      </c>
      <c r="E319" s="4" t="str">
        <f>'[3]rio results'!M319</f>
        <v>10.1111/jbfa.12761</v>
      </c>
      <c r="F319" s="4">
        <v>8</v>
      </c>
    </row>
    <row r="320" spans="1:6" x14ac:dyDescent="0.45">
      <c r="A320" t="s">
        <v>3166</v>
      </c>
      <c r="B320" t="str">
        <f>_xlfn.REGEXREPLACE([3]query3!B320, "https://doi.org/", "")</f>
        <v>10.1016/j.marpol.2024.106116</v>
      </c>
      <c r="C320">
        <v>5</v>
      </c>
      <c r="D320" s="4" t="s">
        <v>3167</v>
      </c>
      <c r="E320" s="4" t="str">
        <f>'[3]rio results'!M320</f>
        <v>10.1007/s00146-022-01616-7</v>
      </c>
      <c r="F320" s="4">
        <v>8</v>
      </c>
    </row>
    <row r="321" spans="1:6" x14ac:dyDescent="0.45">
      <c r="A321" t="s">
        <v>3168</v>
      </c>
      <c r="B321" t="str">
        <f>_xlfn.REGEXREPLACE([3]query3!B321, "https://doi.org/", "")</f>
        <v>10.1108/ijssp-09-2021-0245</v>
      </c>
      <c r="C321">
        <v>5</v>
      </c>
      <c r="D321" s="4" t="s">
        <v>3169</v>
      </c>
      <c r="E321" s="4" t="str">
        <f>'[3]rio results'!M321</f>
        <v>10.1016/j.jclepro.2023.140509</v>
      </c>
      <c r="F321" s="4">
        <v>8</v>
      </c>
    </row>
    <row r="322" spans="1:6" x14ac:dyDescent="0.45">
      <c r="A322" t="s">
        <v>3170</v>
      </c>
      <c r="B322" t="str">
        <f>_xlfn.REGEXREPLACE([3]query3!B322, "https://doi.org/", "")</f>
        <v>10.5204/mcj.2852</v>
      </c>
      <c r="C322">
        <v>5</v>
      </c>
      <c r="D322" s="4" t="s">
        <v>3171</v>
      </c>
      <c r="E322" s="4" t="str">
        <f>'[3]rio results'!M322</f>
        <v>10.1186/s12888-023-04945-z</v>
      </c>
      <c r="F322" s="4">
        <v>8</v>
      </c>
    </row>
    <row r="323" spans="1:6" x14ac:dyDescent="0.45">
      <c r="A323" t="s">
        <v>3172</v>
      </c>
      <c r="B323" t="str">
        <f>_xlfn.REGEXREPLACE([3]query3!B323, "https://doi.org/", "")</f>
        <v>10.5117/9789463720762</v>
      </c>
      <c r="C323">
        <v>4</v>
      </c>
      <c r="D323" s="4" t="s">
        <v>3173</v>
      </c>
      <c r="E323" s="4" t="str">
        <f>'[3]rio results'!M323</f>
        <v>10.1186/s12889-023-15929-9</v>
      </c>
      <c r="F323" s="4">
        <v>8</v>
      </c>
    </row>
    <row r="324" spans="1:6" x14ac:dyDescent="0.45">
      <c r="A324" t="s">
        <v>3174</v>
      </c>
      <c r="B324" t="str">
        <f>_xlfn.REGEXREPLACE([3]query3!B324, "https://doi.org/", "")</f>
        <v>10.1007/978-3-030-64171-9_1</v>
      </c>
      <c r="C324">
        <v>4</v>
      </c>
      <c r="D324" s="4" t="s">
        <v>3021</v>
      </c>
      <c r="E324" s="4" t="str">
        <f>'[3]rio results'!M324</f>
        <v>10.1177/87569728231173298</v>
      </c>
      <c r="F324" s="4">
        <v>8</v>
      </c>
    </row>
    <row r="325" spans="1:6" x14ac:dyDescent="0.45">
      <c r="A325" t="s">
        <v>3175</v>
      </c>
      <c r="B325" t="str">
        <f>_xlfn.REGEXREPLACE([3]query3!B325, "https://doi.org/", "")</f>
        <v>10.1007/978-3-031-05020-6</v>
      </c>
      <c r="C325">
        <v>4</v>
      </c>
      <c r="D325" s="4" t="s">
        <v>2957</v>
      </c>
      <c r="E325" s="4" t="str">
        <f>'[3]rio results'!M325</f>
        <v>10.3389/fmars.2023.1045887</v>
      </c>
      <c r="F325" s="4">
        <v>8</v>
      </c>
    </row>
    <row r="326" spans="1:6" x14ac:dyDescent="0.45">
      <c r="A326" t="s">
        <v>3176</v>
      </c>
      <c r="B326" t="str">
        <f>_xlfn.REGEXREPLACE([3]query3!B326, "https://doi.org/", "")</f>
        <v>10.1007/s10796-022-10359-1</v>
      </c>
      <c r="C326">
        <v>4</v>
      </c>
      <c r="D326" s="4" t="s">
        <v>3077</v>
      </c>
      <c r="E326" s="4" t="str">
        <f>'[3]rio results'!M326</f>
        <v>10.1080/19317611.2023.2201841</v>
      </c>
      <c r="F326" s="4">
        <v>8</v>
      </c>
    </row>
    <row r="327" spans="1:6" x14ac:dyDescent="0.45">
      <c r="A327" t="s">
        <v>3177</v>
      </c>
      <c r="B327" t="str">
        <f>_xlfn.REGEXREPLACE([3]query3!B327, "https://doi.org/", "")</f>
        <v>10.24251/hicss.2023.266</v>
      </c>
      <c r="C327">
        <v>4</v>
      </c>
      <c r="D327" s="4" t="s">
        <v>3178</v>
      </c>
      <c r="E327" s="4" t="str">
        <f>'[3]rio results'!M327</f>
        <v>10.1177/16094069221148415</v>
      </c>
      <c r="F327" s="4">
        <v>8</v>
      </c>
    </row>
    <row r="328" spans="1:6" x14ac:dyDescent="0.45">
      <c r="A328" t="s">
        <v>3179</v>
      </c>
      <c r="B328" t="str">
        <f>_xlfn.REGEXREPLACE([3]query3!B328, "https://doi.org/", "")</f>
        <v>10.1108/tg-12-2022-0166</v>
      </c>
      <c r="C328">
        <v>4</v>
      </c>
      <c r="D328" s="4" t="s">
        <v>3180</v>
      </c>
      <c r="E328" s="4" t="str">
        <f>'[3]rio results'!M328</f>
        <v>10.1080/15568318.2022.2121670</v>
      </c>
      <c r="F328" s="4">
        <v>8</v>
      </c>
    </row>
    <row r="329" spans="1:6" x14ac:dyDescent="0.45">
      <c r="A329" t="s">
        <v>3181</v>
      </c>
      <c r="B329" t="str">
        <f>_xlfn.REGEXREPLACE([3]query3!B329, "https://doi.org/", "")</f>
        <v>10.1016/j.drugalcdep.2021.108829</v>
      </c>
      <c r="C329">
        <v>4</v>
      </c>
      <c r="D329" s="4" t="s">
        <v>3182</v>
      </c>
      <c r="E329" s="4" t="str">
        <f>'[3]rio results'!M329</f>
        <v>10.1186/s12889-022-13539-5</v>
      </c>
      <c r="F329" s="4">
        <v>8</v>
      </c>
    </row>
    <row r="330" spans="1:6" x14ac:dyDescent="0.45">
      <c r="A330" t="s">
        <v>3183</v>
      </c>
      <c r="B330" t="str">
        <f>_xlfn.REGEXREPLACE([3]query3!B330, "https://doi.org/", "")</f>
        <v>10.1145/3613904.3642012</v>
      </c>
      <c r="C330">
        <v>4</v>
      </c>
      <c r="D330" s="4" t="s">
        <v>2964</v>
      </c>
      <c r="E330" s="4" t="str">
        <f>'[3]rio results'!M330</f>
        <v>10.1136/bmjopen-2022-061729</v>
      </c>
      <c r="F330" s="4">
        <v>8</v>
      </c>
    </row>
    <row r="331" spans="1:6" x14ac:dyDescent="0.45">
      <c r="A331" t="s">
        <v>3184</v>
      </c>
      <c r="B331" t="str">
        <f>_xlfn.REGEXREPLACE([3]query3!B331, "https://doi.org/", "")</f>
        <v>10.1037/prj0000575</v>
      </c>
      <c r="C331">
        <v>4</v>
      </c>
      <c r="D331" s="4" t="s">
        <v>2959</v>
      </c>
      <c r="E331" s="4" t="str">
        <f>'[3]rio results'!M331</f>
        <v>10.1111/boer.12328</v>
      </c>
      <c r="F331" s="4">
        <v>8</v>
      </c>
    </row>
    <row r="332" spans="1:6" x14ac:dyDescent="0.45">
      <c r="A332" t="s">
        <v>3185</v>
      </c>
      <c r="B332" t="str">
        <f>_xlfn.REGEXREPLACE([3]query3!B332, "https://doi.org/", "")</f>
        <v>10.1177/0739456x241247838</v>
      </c>
      <c r="C332">
        <v>4</v>
      </c>
      <c r="D332" s="4" t="s">
        <v>2954</v>
      </c>
      <c r="E332" s="4" t="str">
        <f>'[3]rio results'!M332</f>
        <v>10.1177/14713012221084173</v>
      </c>
      <c r="F332" s="4">
        <v>8</v>
      </c>
    </row>
    <row r="333" spans="1:6" x14ac:dyDescent="0.45">
      <c r="A333" t="s">
        <v>3186</v>
      </c>
      <c r="B333" t="str">
        <f>_xlfn.REGEXREPLACE([3]query3!B333, "https://doi.org/", "")</f>
        <v>10.54656/jces.v15i2.525</v>
      </c>
      <c r="C333">
        <v>4</v>
      </c>
      <c r="D333" s="4" t="s">
        <v>3187</v>
      </c>
      <c r="E333" s="4" t="str">
        <f>'[3]rio results'!M333</f>
        <v>10.3389/feart.2022.909078</v>
      </c>
      <c r="F333" s="4">
        <v>8</v>
      </c>
    </row>
    <row r="334" spans="1:6" x14ac:dyDescent="0.45">
      <c r="A334" t="s">
        <v>3188</v>
      </c>
      <c r="B334" t="str">
        <f>_xlfn.REGEXREPLACE([3]query3!B334, "https://doi.org/", "")</f>
        <v>10.1080/23748834.2024.2314382</v>
      </c>
      <c r="C334">
        <v>4</v>
      </c>
      <c r="D334" s="4" t="s">
        <v>3189</v>
      </c>
      <c r="E334" s="4" t="str">
        <f>'[3]rio results'!M334</f>
        <v>10.1007/s11191-021-00253-8</v>
      </c>
      <c r="F334" s="4">
        <v>8</v>
      </c>
    </row>
    <row r="335" spans="1:6" x14ac:dyDescent="0.45">
      <c r="A335" t="s">
        <v>3190</v>
      </c>
      <c r="B335" t="str">
        <f>_xlfn.REGEXREPLACE([3]query3!B335, "https://doi.org/", "")</f>
        <v>10.1080/14708477.2019.1674866</v>
      </c>
      <c r="C335">
        <v>4</v>
      </c>
      <c r="D335" s="4" t="s">
        <v>3191</v>
      </c>
      <c r="E335" s="4" t="str">
        <f>'[3]rio results'!M335</f>
        <v>10.1136/bmjgh-2021-008149</v>
      </c>
      <c r="F335" s="4">
        <v>8</v>
      </c>
    </row>
    <row r="336" spans="1:6" x14ac:dyDescent="0.45">
      <c r="A336" t="s">
        <v>3192</v>
      </c>
      <c r="B336" t="str">
        <f>_xlfn.REGEXREPLACE([3]query3!B336, "https://doi.org/", "")</f>
        <v>10.3389/fcomm.2023.1260540</v>
      </c>
      <c r="C336">
        <v>4</v>
      </c>
      <c r="D336" s="4" t="s">
        <v>3193</v>
      </c>
      <c r="E336" s="4" t="str">
        <f>'[3]rio results'!M336</f>
        <v>10.1093/isq/sqab093</v>
      </c>
      <c r="F336" s="4">
        <v>8</v>
      </c>
    </row>
    <row r="337" spans="1:6" x14ac:dyDescent="0.45">
      <c r="A337" t="s">
        <v>3194</v>
      </c>
      <c r="B337" t="str">
        <f>_xlfn.REGEXREPLACE([3]query3!B337, "https://doi.org/", "")</f>
        <v>10.1080/29941849.2024.2314024</v>
      </c>
      <c r="C337">
        <v>4</v>
      </c>
      <c r="D337" s="4" t="s">
        <v>2911</v>
      </c>
      <c r="E337" s="4" t="str">
        <f>'[3]rio results'!M337</f>
        <v>10.1016/j.bir.2021.05.004</v>
      </c>
      <c r="F337" s="4">
        <v>8</v>
      </c>
    </row>
    <row r="338" spans="1:6" x14ac:dyDescent="0.45">
      <c r="A338" t="s">
        <v>3145</v>
      </c>
      <c r="B338" t="str">
        <f>_xlfn.REGEXREPLACE([3]query3!B338, "https://doi.org/", "")</f>
        <v>10.32920/23657004.v1</v>
      </c>
      <c r="C338">
        <v>4</v>
      </c>
      <c r="D338" s="4" t="s">
        <v>3195</v>
      </c>
      <c r="E338" s="4">
        <f>'[3]rio results'!M338</f>
        <v>0</v>
      </c>
      <c r="F338" s="4">
        <v>8</v>
      </c>
    </row>
    <row r="339" spans="1:6" x14ac:dyDescent="0.45">
      <c r="A339" t="s">
        <v>3196</v>
      </c>
      <c r="B339" t="str">
        <f>_xlfn.REGEXREPLACE([3]query3!B339, "https://doi.org/", "")</f>
        <v>10.18584/iipj.2023.14.3.14677</v>
      </c>
      <c r="C339">
        <v>4</v>
      </c>
      <c r="D339" s="4" t="s">
        <v>3197</v>
      </c>
      <c r="E339" s="4" t="str">
        <f>'[3]rio results'!M339</f>
        <v>10.1111/1468-2427.13031</v>
      </c>
      <c r="F339" s="4">
        <v>8</v>
      </c>
    </row>
    <row r="340" spans="1:6" x14ac:dyDescent="0.45">
      <c r="A340" t="s">
        <v>3198</v>
      </c>
      <c r="B340" t="str">
        <f>_xlfn.REGEXREPLACE([3]query3!B340, "https://doi.org/", "")</f>
        <v>10.20343/teachlearninqu.11.10</v>
      </c>
      <c r="C340">
        <v>4</v>
      </c>
      <c r="D340" s="4" t="s">
        <v>3199</v>
      </c>
      <c r="E340" s="4" t="str">
        <f>'[3]rio results'!M340</f>
        <v>10.1177/0886260519846858</v>
      </c>
      <c r="F340" s="4">
        <v>8</v>
      </c>
    </row>
    <row r="341" spans="1:6" x14ac:dyDescent="0.45">
      <c r="A341" t="s">
        <v>3200</v>
      </c>
      <c r="B341" t="str">
        <f>_xlfn.REGEXREPLACE([3]query3!B341, "https://doi.org/", "")</f>
        <v>10.1007/978-3-031-49084-2_22</v>
      </c>
      <c r="C341">
        <v>4</v>
      </c>
      <c r="D341" s="4" t="s">
        <v>3201</v>
      </c>
      <c r="E341" s="4" t="str">
        <f>'[3]rio results'!M341</f>
        <v>10.3390/v13050926</v>
      </c>
      <c r="F341" s="4">
        <v>8</v>
      </c>
    </row>
    <row r="342" spans="1:6" x14ac:dyDescent="0.45">
      <c r="A342" t="s">
        <v>3202</v>
      </c>
      <c r="B342" t="str">
        <f>_xlfn.REGEXREPLACE([3]query3!B342, "https://doi.org/", "")</f>
        <v>10.1007/978-981-16-5864-8_6</v>
      </c>
      <c r="C342">
        <v>4</v>
      </c>
      <c r="D342" s="4" t="s">
        <v>3039</v>
      </c>
      <c r="E342" s="4" t="str">
        <f>'[3]rio results'!M342</f>
        <v>10.1080/20551940.2020.1863121</v>
      </c>
      <c r="F342" s="4">
        <v>8</v>
      </c>
    </row>
    <row r="343" spans="1:6" x14ac:dyDescent="0.45">
      <c r="A343" t="s">
        <v>3203</v>
      </c>
      <c r="B343" t="str">
        <f>_xlfn.REGEXREPLACE([3]query3!B343, "https://doi.org/", "")</f>
        <v>10.1080/0965254x.2020.1853200</v>
      </c>
      <c r="C343">
        <v>4</v>
      </c>
      <c r="D343" s="4" t="s">
        <v>2883</v>
      </c>
      <c r="E343" s="4" t="str">
        <f>'[3]rio results'!M343</f>
        <v>10.1080/16549716.2020.1802097</v>
      </c>
      <c r="F343" s="4">
        <v>8</v>
      </c>
    </row>
    <row r="344" spans="1:6" x14ac:dyDescent="0.45">
      <c r="A344" t="s">
        <v>3204</v>
      </c>
      <c r="B344" t="str">
        <f>_xlfn.REGEXREPLACE([3]query3!B344, "https://doi.org/", "")</f>
        <v>10.1093/jlb/lsad014</v>
      </c>
      <c r="C344">
        <v>4</v>
      </c>
      <c r="D344" s="4" t="s">
        <v>3205</v>
      </c>
      <c r="E344" s="4" t="str">
        <f>'[3]rio results'!M344</f>
        <v>10.1136/bmjsrh-2019-200408</v>
      </c>
      <c r="F344" s="4">
        <v>8</v>
      </c>
    </row>
    <row r="345" spans="1:6" x14ac:dyDescent="0.45">
      <c r="A345" t="s">
        <v>3206</v>
      </c>
      <c r="B345" t="str">
        <f>_xlfn.REGEXREPLACE([3]query3!B345, "https://doi.org/", "")</f>
        <v>10.3390/ijerph20054403</v>
      </c>
      <c r="C345">
        <v>4</v>
      </c>
      <c r="D345" s="4" t="s">
        <v>2979</v>
      </c>
      <c r="E345" s="4" t="str">
        <f>'[3]rio results'!M345</f>
        <v>10.1080/09640568.2019.1702512</v>
      </c>
      <c r="F345" s="4">
        <v>8</v>
      </c>
    </row>
    <row r="346" spans="1:6" x14ac:dyDescent="0.45">
      <c r="A346" t="s">
        <v>3207</v>
      </c>
      <c r="B346" t="str">
        <f>_xlfn.REGEXREPLACE([3]query3!B346, "https://doi.org/", "")</f>
        <v>10.17645/mac.v11i3.6838</v>
      </c>
      <c r="C346">
        <v>4</v>
      </c>
      <c r="D346" s="4" t="s">
        <v>3208</v>
      </c>
      <c r="E346" s="4" t="str">
        <f>'[3]rio results'!M346</f>
        <v>10.7577/njcie.3626</v>
      </c>
      <c r="F346" s="4">
        <v>8</v>
      </c>
    </row>
    <row r="347" spans="1:6" x14ac:dyDescent="0.45">
      <c r="A347" t="s">
        <v>3209</v>
      </c>
      <c r="B347" t="str">
        <f>_xlfn.REGEXREPLACE([3]query3!B347, "https://doi.org/", "")</f>
        <v>10.1007/978-3-030-89559-4</v>
      </c>
      <c r="C347">
        <v>4</v>
      </c>
      <c r="D347" s="4" t="s">
        <v>3210</v>
      </c>
      <c r="E347" s="4" t="str">
        <f>'[3]rio results'!M347</f>
        <v>10.17645/pag.v8i1.2530</v>
      </c>
      <c r="F347" s="4">
        <v>8</v>
      </c>
    </row>
    <row r="348" spans="1:6" x14ac:dyDescent="0.45">
      <c r="A348" t="s">
        <v>3211</v>
      </c>
      <c r="B348" t="str">
        <f>_xlfn.REGEXREPLACE([3]query3!B348, "https://doi.org/", "")</f>
        <v>10.1371/journal.pone.0296920</v>
      </c>
      <c r="C348">
        <v>4</v>
      </c>
      <c r="D348" s="4" t="s">
        <v>3212</v>
      </c>
      <c r="E348" s="4" t="str">
        <f>'[3]rio results'!M348</f>
        <v>10.1007/s13178-023-00900-5</v>
      </c>
      <c r="F348" s="4">
        <v>7</v>
      </c>
    </row>
    <row r="349" spans="1:6" x14ac:dyDescent="0.45">
      <c r="A349" t="s">
        <v>3213</v>
      </c>
      <c r="B349" t="str">
        <f>_xlfn.REGEXREPLACE([3]query3!B349, "https://doi.org/", "")</f>
        <v>10.14254/1795-6889.2024.20-3.4</v>
      </c>
      <c r="C349">
        <v>4</v>
      </c>
      <c r="D349" s="4" t="s">
        <v>3112</v>
      </c>
      <c r="E349" s="4" t="str">
        <f>'[3]rio results'!M349</f>
        <v>10.1093/fsr/owad048</v>
      </c>
      <c r="F349" s="4">
        <v>7</v>
      </c>
    </row>
    <row r="350" spans="1:6" x14ac:dyDescent="0.45">
      <c r="A350" t="s">
        <v>3214</v>
      </c>
      <c r="B350" t="str">
        <f>_xlfn.REGEXREPLACE([3]query3!B350, "https://doi.org/", "")</f>
        <v>10.16997/jdd.1043</v>
      </c>
      <c r="C350">
        <v>4</v>
      </c>
      <c r="D350" s="4" t="s">
        <v>3215</v>
      </c>
      <c r="E350" s="4" t="str">
        <f>'[3]rio results'!M350</f>
        <v>10.1037/sah0000538</v>
      </c>
      <c r="F350" s="4">
        <v>7</v>
      </c>
    </row>
    <row r="351" spans="1:6" x14ac:dyDescent="0.45">
      <c r="A351" t="s">
        <v>3216</v>
      </c>
      <c r="B351" t="str">
        <f>_xlfn.REGEXREPLACE([3]query3!B351, "https://doi.org/", "")</f>
        <v>10.1007/978-3-030-57089-7_1</v>
      </c>
      <c r="C351">
        <v>4</v>
      </c>
      <c r="D351" s="4" t="s">
        <v>3062</v>
      </c>
      <c r="E351" s="4" t="str">
        <f>'[3]rio results'!M351</f>
        <v>10.1016/j.ijlp.2023.101908</v>
      </c>
      <c r="F351" s="4">
        <v>7</v>
      </c>
    </row>
    <row r="352" spans="1:6" x14ac:dyDescent="0.45">
      <c r="A352" t="s">
        <v>3217</v>
      </c>
      <c r="B352" t="str">
        <f>_xlfn.REGEXREPLACE([3]query3!B352, "https://doi.org/", "")</f>
        <v>10.1079/9781800622975.0016</v>
      </c>
      <c r="C352">
        <v>4</v>
      </c>
      <c r="D352" s="4" t="s">
        <v>3168</v>
      </c>
      <c r="E352" s="4" t="str">
        <f>'[3]rio results'!M352</f>
        <v>10.1108/IJSSP-09-2021-0245</v>
      </c>
      <c r="F352" s="4">
        <v>7</v>
      </c>
    </row>
    <row r="353" spans="1:6" x14ac:dyDescent="0.45">
      <c r="A353" t="s">
        <v>3218</v>
      </c>
      <c r="B353" t="str">
        <f>_xlfn.REGEXREPLACE([3]query3!B353, "https://doi.org/", "")</f>
        <v>10.1007/978-3-030-96386-6_7</v>
      </c>
      <c r="C353">
        <v>4</v>
      </c>
      <c r="D353" s="4" t="s">
        <v>3081</v>
      </c>
      <c r="E353" s="4" t="str">
        <f>'[3]rio results'!M353</f>
        <v>10.1177/20539517231164118</v>
      </c>
      <c r="F353" s="4">
        <v>7</v>
      </c>
    </row>
    <row r="354" spans="1:6" x14ac:dyDescent="0.45">
      <c r="A354" t="s">
        <v>3219</v>
      </c>
      <c r="B354" t="str">
        <f>_xlfn.REGEXREPLACE([3]query3!B354, "https://doi.org/", "")</f>
        <v>10.3389/fpsyg.2021.718818</v>
      </c>
      <c r="C354">
        <v>4</v>
      </c>
      <c r="D354" s="4" t="s">
        <v>2981</v>
      </c>
      <c r="E354" s="4" t="str">
        <f>'[3]rio results'!M354</f>
        <v>10.3389/fgene.2021.716541</v>
      </c>
      <c r="F354" s="4">
        <v>7</v>
      </c>
    </row>
    <row r="355" spans="1:6" x14ac:dyDescent="0.45">
      <c r="A355" t="s">
        <v>3220</v>
      </c>
      <c r="B355" t="str">
        <f>_xlfn.REGEXREPLACE([3]query3!B355, "https://doi.org/", "")</f>
        <v>10.1111/abac.12344</v>
      </c>
      <c r="C355">
        <v>4</v>
      </c>
      <c r="D355" s="4" t="s">
        <v>3221</v>
      </c>
      <c r="E355" s="4" t="str">
        <f>'[3]rio results'!M355</f>
        <v>10.1371/journal.pone.0265811</v>
      </c>
      <c r="F355" s="4">
        <v>7</v>
      </c>
    </row>
    <row r="356" spans="1:6" x14ac:dyDescent="0.45">
      <c r="A356" t="s">
        <v>1253</v>
      </c>
      <c r="B356" t="str">
        <f>_xlfn.REGEXREPLACE([3]query3!B356, "https://doi.org/", "")</f>
        <v>10.35467/sdq/190799</v>
      </c>
      <c r="C356">
        <v>3</v>
      </c>
      <c r="D356" s="4" t="s">
        <v>3222</v>
      </c>
      <c r="E356" s="4" t="str">
        <f>'[3]rio results'!M356</f>
        <v>10.1007/978-3-031-07877-4_2</v>
      </c>
      <c r="F356" s="4">
        <v>7</v>
      </c>
    </row>
    <row r="357" spans="1:6" x14ac:dyDescent="0.45">
      <c r="A357" t="s">
        <v>3223</v>
      </c>
      <c r="B357" t="str">
        <f>_xlfn.REGEXREPLACE([3]query3!B357, "https://doi.org/", "")</f>
        <v>10.21428/cb6ab371.e1ca98a9</v>
      </c>
      <c r="C357">
        <v>3</v>
      </c>
      <c r="D357" s="4" t="s">
        <v>2924</v>
      </c>
      <c r="E357" s="4" t="str">
        <f>'[3]rio results'!M357</f>
        <v>10.1111/cag.12797</v>
      </c>
      <c r="F357" s="4">
        <v>7</v>
      </c>
    </row>
    <row r="358" spans="1:6" x14ac:dyDescent="0.45">
      <c r="A358" t="s">
        <v>3224</v>
      </c>
      <c r="B358" t="str">
        <f>_xlfn.REGEXREPLACE([3]query3!B358, "https://doi.org/", "")</f>
        <v>10.1016/j.wss.2020.100008</v>
      </c>
      <c r="C358">
        <v>3</v>
      </c>
      <c r="D358" s="4" t="s">
        <v>3027</v>
      </c>
      <c r="E358" s="4" t="str">
        <f>'[3]rio results'!M358</f>
        <v>10.1080/09687637.2021.1872500</v>
      </c>
      <c r="F358" s="4">
        <v>7</v>
      </c>
    </row>
    <row r="359" spans="1:6" x14ac:dyDescent="0.45">
      <c r="A359" t="s">
        <v>3225</v>
      </c>
      <c r="B359" t="str">
        <f>_xlfn.REGEXREPLACE([3]query3!B359, "https://doi.org/", "")</f>
        <v>10.1080/19361610.2021.2005503</v>
      </c>
      <c r="C359">
        <v>3</v>
      </c>
      <c r="D359" s="4" t="s">
        <v>3076</v>
      </c>
      <c r="E359" s="4" t="str">
        <f>'[3]rio results'!M359</f>
        <v>10.1080/07418825.2020.1856399</v>
      </c>
      <c r="F359" s="4">
        <v>7</v>
      </c>
    </row>
    <row r="360" spans="1:6" x14ac:dyDescent="0.45">
      <c r="A360" t="s">
        <v>3226</v>
      </c>
      <c r="B360" t="str">
        <f>_xlfn.REGEXREPLACE([3]query3!B360, "https://doi.org/", "")</f>
        <v>10.1016/j.psychres.2023.115331</v>
      </c>
      <c r="C360">
        <v>3</v>
      </c>
      <c r="D360" s="4" t="s">
        <v>3227</v>
      </c>
      <c r="E360" s="4" t="str">
        <f>'[3]rio results'!M360</f>
        <v>10.3138/cpp.2020-004</v>
      </c>
      <c r="F360" s="4">
        <v>7</v>
      </c>
    </row>
    <row r="361" spans="1:6" x14ac:dyDescent="0.45">
      <c r="A361" t="s">
        <v>3228</v>
      </c>
      <c r="B361" t="str">
        <f>_xlfn.REGEXREPLACE([3]query3!B361, "https://doi.org/", "")</f>
        <v>10.1016/j.wss.2024.100223</v>
      </c>
      <c r="C361">
        <v>3</v>
      </c>
      <c r="D361" s="4" t="s">
        <v>3058</v>
      </c>
      <c r="E361" s="4" t="str">
        <f>'[3]rio results'!M361</f>
        <v>10.1007/s13178-020-00452-y</v>
      </c>
      <c r="F361" s="4">
        <v>7</v>
      </c>
    </row>
    <row r="362" spans="1:6" x14ac:dyDescent="0.45">
      <c r="A362" t="s">
        <v>3229</v>
      </c>
      <c r="B362" t="str">
        <f>_xlfn.REGEXREPLACE([3]query3!B362, "https://doi.org/", "")</f>
        <v>10.5281/zenodo.3988104</v>
      </c>
      <c r="C362">
        <v>3</v>
      </c>
      <c r="D362" s="4" t="s">
        <v>3230</v>
      </c>
      <c r="E362" s="4" t="str">
        <f>'[3]rio results'!M362</f>
        <v>10.1016/j.jcyt.2020.09.002</v>
      </c>
      <c r="F362" s="4">
        <v>7</v>
      </c>
    </row>
    <row r="363" spans="1:6" x14ac:dyDescent="0.45">
      <c r="A363" t="s">
        <v>3231</v>
      </c>
      <c r="B363" t="str">
        <f>_xlfn.REGEXREPLACE([3]query3!B363, "https://doi.org/", "")</f>
        <v>10.1080/23276665.2023.2270085</v>
      </c>
      <c r="C363">
        <v>3</v>
      </c>
      <c r="D363" s="4" t="s">
        <v>3232</v>
      </c>
      <c r="E363" s="4" t="str">
        <f>'[3]rio results'!M363</f>
        <v>10.1016/j.lanwpc.2020.100080</v>
      </c>
      <c r="F363" s="4">
        <v>7</v>
      </c>
    </row>
    <row r="364" spans="1:6" x14ac:dyDescent="0.45">
      <c r="A364" t="s">
        <v>3233</v>
      </c>
      <c r="B364" t="str">
        <f>_xlfn.REGEXREPLACE([3]query3!B364, "https://doi.org/", "")</f>
        <v>10.2217/fvl-2021-0266</v>
      </c>
      <c r="C364">
        <v>3</v>
      </c>
      <c r="D364" s="4" t="s">
        <v>3234</v>
      </c>
      <c r="E364" s="4" t="str">
        <f>'[3]rio results'!M364</f>
        <v>10.3390/ijerph17249283</v>
      </c>
      <c r="F364" s="4">
        <v>7</v>
      </c>
    </row>
    <row r="365" spans="1:6" x14ac:dyDescent="0.45">
      <c r="A365" t="s">
        <v>3235</v>
      </c>
      <c r="B365" t="str">
        <f>_xlfn.REGEXREPLACE([3]query3!B365, "https://doi.org/", "")</f>
        <v>10.1136/bmjno-2022-000349</v>
      </c>
      <c r="C365">
        <v>3</v>
      </c>
      <c r="D365" s="4" t="s">
        <v>3037</v>
      </c>
      <c r="E365" s="4" t="str">
        <f>'[3]rio results'!M365</f>
        <v>10.1080/26892618.2020.1734138</v>
      </c>
      <c r="F365" s="4">
        <v>7</v>
      </c>
    </row>
    <row r="366" spans="1:6" x14ac:dyDescent="0.45">
      <c r="A366" t="s">
        <v>3236</v>
      </c>
      <c r="B366" t="str">
        <f>_xlfn.REGEXREPLACE([3]query3!B366, "https://doi.org/", "")</f>
        <v>10.18584/iipj.2021.12.4.11153</v>
      </c>
      <c r="C366">
        <v>3</v>
      </c>
      <c r="D366" s="4" t="s">
        <v>3237</v>
      </c>
      <c r="E366" s="4">
        <f>'[3]rio results'!M366</f>
        <v>0</v>
      </c>
      <c r="F366" s="4">
        <v>7</v>
      </c>
    </row>
    <row r="367" spans="1:6" x14ac:dyDescent="0.45">
      <c r="A367" t="s">
        <v>3238</v>
      </c>
      <c r="B367" t="str">
        <f>_xlfn.REGEXREPLACE([3]query3!B367, "https://doi.org/", "")</f>
        <v>10.1080/10630732.2024.2444238</v>
      </c>
      <c r="C367">
        <v>3</v>
      </c>
      <c r="D367" s="4" t="s">
        <v>3051</v>
      </c>
      <c r="E367" s="4" t="str">
        <f>'[3]rio results'!M367</f>
        <v>10.3389/fnbeh.2020.00097</v>
      </c>
      <c r="F367" s="4">
        <v>7</v>
      </c>
    </row>
    <row r="368" spans="1:6" x14ac:dyDescent="0.45">
      <c r="A368" t="s">
        <v>3239</v>
      </c>
      <c r="B368" t="str">
        <f>_xlfn.REGEXREPLACE([3]query3!B368, "https://doi.org/", "")</f>
        <v>10.1080/13854046.2024.2325167</v>
      </c>
      <c r="C368">
        <v>3</v>
      </c>
      <c r="D368" s="4" t="s">
        <v>3240</v>
      </c>
      <c r="E368" s="4" t="str">
        <f>'[3]rio results'!M368</f>
        <v>10.1139/cjfas-2023-0039</v>
      </c>
      <c r="F368" s="4">
        <v>6</v>
      </c>
    </row>
    <row r="369" spans="1:6" x14ac:dyDescent="0.45">
      <c r="A369" t="s">
        <v>3241</v>
      </c>
      <c r="B369" t="str">
        <f>_xlfn.REGEXREPLACE([3]query3!B369, "https://doi.org/", "")</f>
        <v>10.1111/hic3.12679</v>
      </c>
      <c r="C369">
        <v>3</v>
      </c>
      <c r="D369" s="4" t="s">
        <v>3242</v>
      </c>
      <c r="E369" s="4" t="str">
        <f>'[3]rio results'!M369</f>
        <v>10.1186/s12889-023-17416-7</v>
      </c>
      <c r="F369" s="4">
        <v>6</v>
      </c>
    </row>
    <row r="370" spans="1:6" x14ac:dyDescent="0.45">
      <c r="A370" t="s">
        <v>3243</v>
      </c>
      <c r="B370" t="str">
        <f>_xlfn.REGEXREPLACE([3]query3!B370, "https://doi.org/", "")</f>
        <v>10.1108/ijoph-08-2023-0052</v>
      </c>
      <c r="C370">
        <v>3</v>
      </c>
      <c r="D370" s="4" t="s">
        <v>3100</v>
      </c>
      <c r="E370" s="4" t="str">
        <f>'[3]rio results'!M370</f>
        <v>10.1111/capa.12543</v>
      </c>
      <c r="F370" s="4">
        <v>6</v>
      </c>
    </row>
    <row r="371" spans="1:6" x14ac:dyDescent="0.45">
      <c r="A371" t="s">
        <v>3244</v>
      </c>
      <c r="B371" t="str">
        <f>_xlfn.REGEXREPLACE([3]query3!B371, "https://doi.org/", "")</f>
        <v>10.1080/01972243.2022.2076180</v>
      </c>
      <c r="C371">
        <v>3</v>
      </c>
      <c r="D371" s="4" t="s">
        <v>3001</v>
      </c>
      <c r="E371" s="4" t="str">
        <f>'[3]rio results'!M371</f>
        <v>10.1016/j.pnpbp.2023.110795</v>
      </c>
      <c r="F371" s="4">
        <v>6</v>
      </c>
    </row>
    <row r="372" spans="1:6" x14ac:dyDescent="0.45">
      <c r="A372" t="s">
        <v>3245</v>
      </c>
      <c r="B372" t="str">
        <f>_xlfn.REGEXREPLACE([3]query3!B372, "https://doi.org/", "")</f>
        <v>10.1136/bmjopen-2022-067736</v>
      </c>
      <c r="C372">
        <v>3</v>
      </c>
      <c r="D372" s="4" t="s">
        <v>2710</v>
      </c>
      <c r="E372" s="4" t="str">
        <f>'[3]rio results'!M372</f>
        <v>10.1177/00207314221134040</v>
      </c>
      <c r="F372" s="4">
        <v>6</v>
      </c>
    </row>
    <row r="373" spans="1:6" x14ac:dyDescent="0.45">
      <c r="A373" t="s">
        <v>3246</v>
      </c>
      <c r="B373" t="str">
        <f>_xlfn.REGEXREPLACE([3]query3!B373, "https://doi.org/", "")</f>
        <v>10.1080/10510974.2023.2169730</v>
      </c>
      <c r="C373">
        <v>3</v>
      </c>
      <c r="D373" s="4" t="s">
        <v>3247</v>
      </c>
      <c r="E373" s="4" t="str">
        <f>'[3]rio results'!M373</f>
        <v>10.3390/socsci12030127</v>
      </c>
      <c r="F373" s="4">
        <v>6</v>
      </c>
    </row>
    <row r="374" spans="1:6" x14ac:dyDescent="0.45">
      <c r="A374" t="s">
        <v>3248</v>
      </c>
      <c r="B374" t="str">
        <f>_xlfn.REGEXREPLACE([3]query3!B374, "https://doi.org/", "")</f>
        <v>10.17269/s41997-023-00843-9</v>
      </c>
      <c r="C374">
        <v>3</v>
      </c>
      <c r="D374" s="4" t="s">
        <v>3249</v>
      </c>
      <c r="E374" s="4" t="str">
        <f>'[3]rio results'!M374</f>
        <v>10.3389/feduc.2022.936724</v>
      </c>
      <c r="F374" s="4">
        <v>6</v>
      </c>
    </row>
    <row r="375" spans="1:6" x14ac:dyDescent="0.45">
      <c r="A375" t="s">
        <v>3250</v>
      </c>
      <c r="B375" t="str">
        <f>_xlfn.REGEXREPLACE([3]query3!B375, "https://doi.org/", "")</f>
        <v>10.1111/cag.12645</v>
      </c>
      <c r="C375">
        <v>3</v>
      </c>
      <c r="D375" s="4" t="s">
        <v>2559</v>
      </c>
      <c r="E375" s="4" t="str">
        <f>'[3]rio results'!M375</f>
        <v>10.4324/9781003176497</v>
      </c>
      <c r="F375" s="4">
        <v>6</v>
      </c>
    </row>
    <row r="376" spans="1:6" x14ac:dyDescent="0.45">
      <c r="A376" t="s">
        <v>3251</v>
      </c>
      <c r="B376" t="str">
        <f>_xlfn.REGEXREPLACE([3]query3!B376, "https://doi.org/", "")</f>
        <v>10.1007/978-3-030-34390-3_26</v>
      </c>
      <c r="C376">
        <v>3</v>
      </c>
      <c r="D376" s="4" t="s">
        <v>3009</v>
      </c>
      <c r="E376" s="4" t="str">
        <f>'[3]rio results'!M376</f>
        <v>10.46292/sci21-00056</v>
      </c>
      <c r="F376" s="4">
        <v>6</v>
      </c>
    </row>
    <row r="377" spans="1:6" x14ac:dyDescent="0.45">
      <c r="A377" t="s">
        <v>3252</v>
      </c>
      <c r="B377" t="str">
        <f>_xlfn.REGEXREPLACE([3]query3!B377, "https://doi.org/", "")</f>
        <v>10.1177/01634437231225031</v>
      </c>
      <c r="C377">
        <v>3</v>
      </c>
      <c r="D377" s="4" t="s">
        <v>3253</v>
      </c>
      <c r="E377" s="4" t="str">
        <f>'[3]rio results'!M377</f>
        <v>10.1177/20552076231152766</v>
      </c>
      <c r="F377" s="4">
        <v>6</v>
      </c>
    </row>
    <row r="378" spans="1:6" x14ac:dyDescent="0.45">
      <c r="A378" t="s">
        <v>3254</v>
      </c>
      <c r="B378" t="str">
        <f>_xlfn.REGEXREPLACE([3]query3!B378, "https://doi.org/", "")</f>
        <v>10.3389/fpubh.2021.605695</v>
      </c>
      <c r="C378">
        <v>3</v>
      </c>
      <c r="D378" s="4" t="s">
        <v>3255</v>
      </c>
      <c r="E378" s="4" t="str">
        <f>'[3]rio results'!M378</f>
        <v>10.1097/ADM.0000000000001032</v>
      </c>
      <c r="F378" s="4">
        <v>6</v>
      </c>
    </row>
    <row r="379" spans="1:6" x14ac:dyDescent="0.45">
      <c r="A379" t="s">
        <v>3256</v>
      </c>
      <c r="B379" t="str">
        <f>_xlfn.REGEXREPLACE([3]query3!B379, "https://doi.org/", "")</f>
        <v>10.1080/02697459.2024.2425249</v>
      </c>
      <c r="C379">
        <v>3</v>
      </c>
      <c r="D379" s="4" t="s">
        <v>3024</v>
      </c>
      <c r="E379" s="4" t="str">
        <f>'[3]rio results'!M379</f>
        <v>10.1080/14616742.2022.2075424</v>
      </c>
      <c r="F379" s="4">
        <v>6</v>
      </c>
    </row>
    <row r="380" spans="1:6" x14ac:dyDescent="0.45">
      <c r="A380" t="s">
        <v>3257</v>
      </c>
      <c r="B380" t="str">
        <f>_xlfn.REGEXREPLACE([3]query3!B380, "https://doi.org/", "")</f>
        <v>10.46697/001c.18164</v>
      </c>
      <c r="C380">
        <v>3</v>
      </c>
      <c r="D380" s="4" t="s">
        <v>3065</v>
      </c>
      <c r="E380" s="4" t="str">
        <f>'[3]rio results'!M380</f>
        <v>10.1080/02673037.2021.1900548</v>
      </c>
      <c r="F380" s="4">
        <v>6</v>
      </c>
    </row>
    <row r="381" spans="1:6" x14ac:dyDescent="0.45">
      <c r="A381" t="s">
        <v>3258</v>
      </c>
      <c r="B381" t="str">
        <f>_xlfn.REGEXREPLACE([3]query3!B381, "https://doi.org/", "")</f>
        <v>10.3389/fmars.2024.1336030</v>
      </c>
      <c r="C381">
        <v>3</v>
      </c>
      <c r="D381" s="4" t="s">
        <v>3086</v>
      </c>
      <c r="E381" s="4" t="str">
        <f>'[3]rio results'!M381</f>
        <v>10.1097/j.pain.0000000000002619</v>
      </c>
      <c r="F381" s="4">
        <v>6</v>
      </c>
    </row>
    <row r="382" spans="1:6" x14ac:dyDescent="0.45">
      <c r="A382" t="s">
        <v>3259</v>
      </c>
      <c r="B382" t="str">
        <f>_xlfn.REGEXREPLACE([3]query3!B382, "https://doi.org/", "")</f>
        <v>10.3389/fpsyg.2021.571423</v>
      </c>
      <c r="C382">
        <v>3</v>
      </c>
      <c r="D382" s="4" t="s">
        <v>3260</v>
      </c>
      <c r="E382" s="4" t="str">
        <f>'[3]rio results'!M382</f>
        <v>10.1016/j.jval.2022.03.019</v>
      </c>
      <c r="F382" s="4">
        <v>6</v>
      </c>
    </row>
    <row r="383" spans="1:6" x14ac:dyDescent="0.45">
      <c r="A383" t="s">
        <v>3261</v>
      </c>
      <c r="B383" t="str">
        <f>_xlfn.REGEXREPLACE([3]query3!B383, "https://doi.org/", "")</f>
        <v>10.1080/17441692.2020.1866637</v>
      </c>
      <c r="C383">
        <v>3</v>
      </c>
      <c r="D383" s="4" t="s">
        <v>3262</v>
      </c>
      <c r="E383" s="4" t="str">
        <f>'[3]rio results'!M383</f>
        <v>10.1108/IJPSM-02-2021-0050</v>
      </c>
      <c r="F383" s="4">
        <v>6</v>
      </c>
    </row>
    <row r="384" spans="1:6" x14ac:dyDescent="0.45">
      <c r="A384" t="s">
        <v>3263</v>
      </c>
      <c r="B384" t="str">
        <f>_xlfn.REGEXREPLACE([3]query3!B384, "https://doi.org/", "")</f>
        <v>10.1177/10497323231167829</v>
      </c>
      <c r="C384">
        <v>3</v>
      </c>
      <c r="D384" s="4" t="s">
        <v>3264</v>
      </c>
      <c r="E384" s="4" t="str">
        <f>'[3]rio results'!M384</f>
        <v>10.1016/j.eclinm.2022.101277</v>
      </c>
      <c r="F384" s="4">
        <v>6</v>
      </c>
    </row>
    <row r="385" spans="1:6" x14ac:dyDescent="0.45">
      <c r="A385" t="s">
        <v>3265</v>
      </c>
      <c r="B385" t="str">
        <f>_xlfn.REGEXREPLACE([3]query3!B385, "https://doi.org/", "")</f>
        <v>10.16997/ats.1206</v>
      </c>
      <c r="C385">
        <v>3</v>
      </c>
      <c r="D385" s="4" t="s">
        <v>3266</v>
      </c>
      <c r="E385" s="4" t="str">
        <f>'[3]rio results'!M385</f>
        <v>10.1177/00207020221076402</v>
      </c>
      <c r="F385" s="4">
        <v>6</v>
      </c>
    </row>
    <row r="386" spans="1:6" x14ac:dyDescent="0.45">
      <c r="A386" t="s">
        <v>3267</v>
      </c>
      <c r="B386" t="str">
        <f>_xlfn.REGEXREPLACE([3]query3!B386, "https://doi.org/", "")</f>
        <v>10.1139/facets-2022-0048</v>
      </c>
      <c r="C386">
        <v>3</v>
      </c>
      <c r="D386" s="4" t="s">
        <v>3133</v>
      </c>
      <c r="E386" s="4" t="str">
        <f>'[3]rio results'!M386</f>
        <v>10.1038/s41598-021-96186-x</v>
      </c>
      <c r="F386" s="4">
        <v>6</v>
      </c>
    </row>
    <row r="387" spans="1:6" x14ac:dyDescent="0.45">
      <c r="A387" t="s">
        <v>3268</v>
      </c>
      <c r="B387" t="str">
        <f>_xlfn.REGEXREPLACE([3]query3!B387, "https://doi.org/", "")</f>
        <v>10.1017/s0022216x22000426</v>
      </c>
      <c r="C387">
        <v>3</v>
      </c>
      <c r="D387" s="4" t="s">
        <v>3269</v>
      </c>
      <c r="E387" s="4" t="str">
        <f>'[3]rio results'!M387</f>
        <v>10.1177/0706743721989158</v>
      </c>
      <c r="F387" s="4">
        <v>6</v>
      </c>
    </row>
    <row r="388" spans="1:6" x14ac:dyDescent="0.45">
      <c r="A388" t="s">
        <v>3270</v>
      </c>
      <c r="B388" t="str">
        <f>_xlfn.REGEXREPLACE([3]query3!B388, "https://doi.org/", "")</f>
        <v>10.35293/srsa.v37i1.223</v>
      </c>
      <c r="C388">
        <v>3</v>
      </c>
      <c r="D388" s="4" t="s">
        <v>3271</v>
      </c>
      <c r="E388" s="4" t="str">
        <f>'[3]rio results'!M388</f>
        <v>10.1007/s11422-021-10037-9</v>
      </c>
      <c r="F388" s="4">
        <v>6</v>
      </c>
    </row>
    <row r="389" spans="1:6" x14ac:dyDescent="0.45">
      <c r="A389" t="s">
        <v>3272</v>
      </c>
      <c r="B389" t="str">
        <f>_xlfn.REGEXREPLACE([3]query3!B389, "https://doi.org/", "")</f>
        <v>10.1079/onehealthcases.2024.0001</v>
      </c>
      <c r="C389">
        <v>3</v>
      </c>
      <c r="D389" s="4" t="s">
        <v>3060</v>
      </c>
      <c r="E389" s="4" t="str">
        <f>'[3]rio results'!M389</f>
        <v>10.1145/3447548.3470818</v>
      </c>
      <c r="F389" s="4">
        <v>6</v>
      </c>
    </row>
    <row r="390" spans="1:6" x14ac:dyDescent="0.45">
      <c r="A390" t="s">
        <v>3273</v>
      </c>
      <c r="B390" t="str">
        <f>_xlfn.REGEXREPLACE([3]query3!B390, "https://doi.org/", "")</f>
        <v>10.1177/10892680241289577</v>
      </c>
      <c r="C390">
        <v>3</v>
      </c>
      <c r="D390" s="4" t="s">
        <v>3274</v>
      </c>
      <c r="E390" s="4" t="str">
        <f>'[3]rio results'!M390</f>
        <v>10.1111/tgis.12712</v>
      </c>
      <c r="F390" s="4">
        <v>6</v>
      </c>
    </row>
    <row r="391" spans="1:6" x14ac:dyDescent="0.45">
      <c r="A391" t="s">
        <v>3275</v>
      </c>
      <c r="B391" t="str">
        <f>_xlfn.REGEXREPLACE([3]query3!B391, "https://doi.org/", "")</f>
        <v>10.1007/978-3-030-65161-9_10</v>
      </c>
      <c r="C391">
        <v>3</v>
      </c>
      <c r="D391" s="4" t="s">
        <v>3276</v>
      </c>
      <c r="E391" s="4" t="str">
        <f>'[3]rio results'!M391</f>
        <v>10.1177/1367549419839877</v>
      </c>
      <c r="F391" s="4">
        <v>6</v>
      </c>
    </row>
    <row r="392" spans="1:6" x14ac:dyDescent="0.45">
      <c r="A392" t="s">
        <v>3277</v>
      </c>
      <c r="B392" t="str">
        <f>_xlfn.REGEXREPLACE([3]query3!B392, "https://doi.org/", "")</f>
        <v>10.1177/10780874221101393</v>
      </c>
      <c r="C392">
        <v>3</v>
      </c>
      <c r="D392" s="4" t="s">
        <v>3278</v>
      </c>
      <c r="E392" s="4" t="str">
        <f>'[3]rio results'!M392</f>
        <v>10.1080/02255189.2020.1797650</v>
      </c>
      <c r="F392" s="4">
        <v>6</v>
      </c>
    </row>
    <row r="393" spans="1:6" x14ac:dyDescent="0.45">
      <c r="A393" t="s">
        <v>3279</v>
      </c>
      <c r="B393" t="str">
        <f>_xlfn.REGEXREPLACE([3]query3!B393, "https://doi.org/", "")</f>
        <v>10.1007/s11159-022-09980-8</v>
      </c>
      <c r="C393">
        <v>3</v>
      </c>
      <c r="D393" s="4" t="s">
        <v>3280</v>
      </c>
      <c r="E393" s="4" t="str">
        <f>'[3]rio results'!M393</f>
        <v>10.1016/j.socscimed.2020.113528</v>
      </c>
      <c r="F393" s="4">
        <v>6</v>
      </c>
    </row>
    <row r="394" spans="1:6" x14ac:dyDescent="0.45">
      <c r="A394" t="s">
        <v>3281</v>
      </c>
      <c r="B394" t="str">
        <f>_xlfn.REGEXREPLACE([3]query3!B394, "https://doi.org/", "")</f>
        <v>10.5281/zenodo.5495559</v>
      </c>
      <c r="C394">
        <v>3</v>
      </c>
      <c r="D394" s="4" t="s">
        <v>3282</v>
      </c>
      <c r="E394" s="4" t="str">
        <f>'[3]rio results'!M394</f>
        <v>10.1111/1467-9566.13145</v>
      </c>
      <c r="F394" s="4">
        <v>6</v>
      </c>
    </row>
    <row r="395" spans="1:6" x14ac:dyDescent="0.45">
      <c r="A395" t="s">
        <v>2483</v>
      </c>
      <c r="B395" t="str">
        <f>_xlfn.REGEXREPLACE([3]query3!B395, "https://doi.org/", "")</f>
        <v>10.1111/sjtg.12539</v>
      </c>
      <c r="C395">
        <v>3</v>
      </c>
      <c r="D395" s="4" t="s">
        <v>3190</v>
      </c>
      <c r="E395" s="4" t="str">
        <f>'[3]rio results'!M395</f>
        <v>10.1080/14708477.2019.1674866</v>
      </c>
      <c r="F395" s="4">
        <v>6</v>
      </c>
    </row>
    <row r="396" spans="1:6" x14ac:dyDescent="0.45">
      <c r="A396" t="s">
        <v>3283</v>
      </c>
      <c r="B396" t="str">
        <f>_xlfn.REGEXREPLACE([3]query3!B396, "https://doi.org/", "")</f>
        <v>10.1177/0169796x20962878</v>
      </c>
      <c r="C396">
        <v>2</v>
      </c>
      <c r="D396" s="4" t="s">
        <v>3284</v>
      </c>
      <c r="E396" s="4" t="str">
        <f>'[3]rio results'!M396</f>
        <v>10.1177/1477370818794124</v>
      </c>
      <c r="F396" s="4">
        <v>6</v>
      </c>
    </row>
    <row r="397" spans="1:6" x14ac:dyDescent="0.45">
      <c r="A397" t="s">
        <v>3285</v>
      </c>
      <c r="B397" t="str">
        <f>_xlfn.REGEXREPLACE([3]query3!B397, "https://doi.org/", "")</f>
        <v>10.1016/j.jcrimjus.2024.102299</v>
      </c>
      <c r="C397">
        <v>2</v>
      </c>
      <c r="D397" s="4" t="s">
        <v>3005</v>
      </c>
      <c r="E397" s="4" t="str">
        <f>'[3]rio results'!M397</f>
        <v>10.1080/02673037.2020.1789564</v>
      </c>
      <c r="F397" s="4">
        <v>6</v>
      </c>
    </row>
    <row r="398" spans="1:6" x14ac:dyDescent="0.45">
      <c r="A398" t="s">
        <v>3286</v>
      </c>
      <c r="B398" t="str">
        <f>_xlfn.REGEXREPLACE([3]query3!B398, "https://doi.org/", "")</f>
        <v>10.2478/njms-2023-0003</v>
      </c>
      <c r="C398">
        <v>2</v>
      </c>
      <c r="D398" s="4" t="s">
        <v>3130</v>
      </c>
      <c r="E398" s="4" t="str">
        <f>'[3]rio results'!M398</f>
        <v>10.1038/s44183-024-00093-3</v>
      </c>
      <c r="F398" s="4">
        <v>5</v>
      </c>
    </row>
    <row r="399" spans="1:6" x14ac:dyDescent="0.45">
      <c r="A399" t="s">
        <v>3287</v>
      </c>
      <c r="B399" t="str">
        <f>_xlfn.REGEXREPLACE([3]query3!B399, "https://doi.org/", "")</f>
        <v>10.1080/15614263.2023.2246620</v>
      </c>
      <c r="C399">
        <v>2</v>
      </c>
      <c r="D399" s="4" t="s">
        <v>3288</v>
      </c>
      <c r="E399" s="4" t="str">
        <f>'[3]rio results'!M399</f>
        <v>10.1017/S1537592724000677</v>
      </c>
      <c r="F399" s="4">
        <v>5</v>
      </c>
    </row>
    <row r="400" spans="1:6" x14ac:dyDescent="0.45">
      <c r="A400" t="s">
        <v>3289</v>
      </c>
      <c r="B400" t="str">
        <f>_xlfn.REGEXREPLACE([3]query3!B400, "https://doi.org/", "")</f>
        <v>10.1080/13854046.2023.2178513</v>
      </c>
      <c r="C400">
        <v>2</v>
      </c>
      <c r="D400" s="4" t="s">
        <v>3290</v>
      </c>
      <c r="E400" s="4" t="str">
        <f>'[3]rio results'!M400</f>
        <v>10.1016/S2214-109X(24)00287-0</v>
      </c>
      <c r="F400" s="4">
        <v>5</v>
      </c>
    </row>
    <row r="401" spans="1:6" x14ac:dyDescent="0.45">
      <c r="A401" t="s">
        <v>3291</v>
      </c>
      <c r="B401" t="str">
        <f>_xlfn.REGEXREPLACE([3]query3!B401, "https://doi.org/", "")</f>
        <v>10.26522/ssj.v18i3.4801</v>
      </c>
      <c r="C401">
        <v>2</v>
      </c>
      <c r="D401" s="4" t="s">
        <v>3292</v>
      </c>
      <c r="E401" s="4" t="str">
        <f>'[3]rio results'!M401</f>
        <v>10.1016/j.trip.2024.101179</v>
      </c>
      <c r="F401" s="4">
        <v>5</v>
      </c>
    </row>
    <row r="402" spans="1:6" x14ac:dyDescent="0.45">
      <c r="A402" t="s">
        <v>3293</v>
      </c>
      <c r="B402" t="str">
        <f>_xlfn.REGEXREPLACE([3]query3!B402, "https://doi.org/", "")</f>
        <v>10.1016/j.jpsychires.2024.01.003</v>
      </c>
      <c r="C402">
        <v>2</v>
      </c>
      <c r="D402" s="4" t="s">
        <v>3154</v>
      </c>
      <c r="E402" s="4" t="str">
        <f>'[3]rio results'!M402</f>
        <v>10.1177/07311214231193355</v>
      </c>
      <c r="F402" s="4">
        <v>5</v>
      </c>
    </row>
    <row r="403" spans="1:6" x14ac:dyDescent="0.45">
      <c r="A403" t="s">
        <v>3294</v>
      </c>
      <c r="B403" t="str">
        <f>_xlfn.REGEXREPLACE([3]query3!B403, "https://doi.org/", "")</f>
        <v>10.1080/19460171.2022.2078987</v>
      </c>
      <c r="C403">
        <v>2</v>
      </c>
      <c r="D403" s="4" t="s">
        <v>3146</v>
      </c>
      <c r="E403" s="4" t="str">
        <f>'[3]rio results'!M403</f>
        <v>10.1016/j.trip.2024.101062</v>
      </c>
      <c r="F403" s="4">
        <v>5</v>
      </c>
    </row>
    <row r="404" spans="1:6" x14ac:dyDescent="0.45">
      <c r="A404" t="s">
        <v>3295</v>
      </c>
      <c r="B404" t="str">
        <f>_xlfn.REGEXREPLACE([3]query3!B404, "https://doi.org/", "")</f>
        <v>10.1007/978-3-030-47150-7_16</v>
      </c>
      <c r="C404">
        <v>2</v>
      </c>
      <c r="D404" s="4" t="s">
        <v>3070</v>
      </c>
      <c r="E404" s="4" t="str">
        <f>'[3]rio results'!M404</f>
        <v>10.1109/TNSE.2023.3330450</v>
      </c>
      <c r="F404" s="4">
        <v>5</v>
      </c>
    </row>
    <row r="405" spans="1:6" x14ac:dyDescent="0.45">
      <c r="A405" t="s">
        <v>3296</v>
      </c>
      <c r="B405" t="str">
        <f>_xlfn.REGEXREPLACE([3]query3!B405, "https://doi.org/", "")</f>
        <v>10.1080/10999922.2023.2240623</v>
      </c>
      <c r="C405">
        <v>2</v>
      </c>
      <c r="D405" s="4" t="s">
        <v>3297</v>
      </c>
      <c r="E405" s="4" t="str">
        <f>'[3]rio results'!M405</f>
        <v>10.1016/j.socscimed.2024.116589</v>
      </c>
      <c r="F405" s="4">
        <v>5</v>
      </c>
    </row>
    <row r="406" spans="1:6" x14ac:dyDescent="0.45">
      <c r="A406" t="s">
        <v>3298</v>
      </c>
      <c r="B406" t="str">
        <f>_xlfn.REGEXREPLACE([3]query3!B406, "https://doi.org/", "")</f>
        <v>10.5509/2022954685</v>
      </c>
      <c r="C406">
        <v>2</v>
      </c>
      <c r="D406" s="4" t="s">
        <v>3299</v>
      </c>
      <c r="E406" s="4" t="str">
        <f>'[3]rio results'!M406</f>
        <v>10.1080/14036096.2024.2341840</v>
      </c>
      <c r="F406" s="4">
        <v>5</v>
      </c>
    </row>
    <row r="407" spans="1:6" x14ac:dyDescent="0.45">
      <c r="A407" t="s">
        <v>3300</v>
      </c>
      <c r="B407" t="str">
        <f>_xlfn.REGEXREPLACE([3]query3!B407, "https://doi.org/", "")</f>
        <v>10.1080/1369118x.2021.1974521</v>
      </c>
      <c r="C407">
        <v>2</v>
      </c>
      <c r="D407" s="4" t="s">
        <v>3047</v>
      </c>
      <c r="E407" s="4" t="str">
        <f>'[3]rio results'!M407</f>
        <v>10.1002/smj.3503</v>
      </c>
      <c r="F407" s="4">
        <v>5</v>
      </c>
    </row>
    <row r="408" spans="1:6" x14ac:dyDescent="0.45">
      <c r="A408" t="s">
        <v>3301</v>
      </c>
      <c r="B408" t="str">
        <f>_xlfn.REGEXREPLACE([3]query3!B408, "https://doi.org/", "")</f>
        <v>10.1007/978-3-031-05020-6_9</v>
      </c>
      <c r="C408">
        <v>2</v>
      </c>
      <c r="D408" s="4" t="s">
        <v>3302</v>
      </c>
      <c r="E408" s="4" t="str">
        <f>'[3]rio results'!M408</f>
        <v>10.1093/applin/amac079</v>
      </c>
      <c r="F408" s="4">
        <v>5</v>
      </c>
    </row>
    <row r="409" spans="1:6" x14ac:dyDescent="0.45">
      <c r="A409" t="s">
        <v>3303</v>
      </c>
      <c r="B409" t="str">
        <f>_xlfn.REGEXREPLACE([3]query3!B409, "https://doi.org/", "")</f>
        <v>10.1123/ssj.2023-0183</v>
      </c>
      <c r="C409">
        <v>2</v>
      </c>
      <c r="D409" s="4" t="s">
        <v>3304</v>
      </c>
      <c r="E409" s="4" t="str">
        <f>'[3]rio results'!M409</f>
        <v>10.1136/bmjgh-2022-011211</v>
      </c>
      <c r="F409" s="4">
        <v>5</v>
      </c>
    </row>
    <row r="410" spans="1:6" x14ac:dyDescent="0.45">
      <c r="A410" t="s">
        <v>3305</v>
      </c>
      <c r="B410" t="str">
        <f>_xlfn.REGEXREPLACE([3]query3!B410, "https://doi.org/", "")</f>
        <v>10.1111/hic3.12680</v>
      </c>
      <c r="C410">
        <v>2</v>
      </c>
      <c r="D410" s="4" t="s">
        <v>3306</v>
      </c>
      <c r="E410" s="4" t="str">
        <f>'[3]rio results'!M410</f>
        <v>10.1111/add.16096</v>
      </c>
      <c r="F410" s="4">
        <v>5</v>
      </c>
    </row>
    <row r="411" spans="1:6" x14ac:dyDescent="0.45">
      <c r="A411" t="s">
        <v>3307</v>
      </c>
      <c r="B411" t="str">
        <f>_xlfn.REGEXREPLACE([3]query3!B411, "https://doi.org/", "")</f>
        <v>10.1016/j.jce.2020.10.004</v>
      </c>
      <c r="C411">
        <v>2</v>
      </c>
      <c r="D411" s="4" t="s">
        <v>3206</v>
      </c>
      <c r="E411" s="4" t="str">
        <f>'[3]rio results'!M411</f>
        <v>10.3390/ijerph20054403</v>
      </c>
      <c r="F411" s="4">
        <v>5</v>
      </c>
    </row>
    <row r="412" spans="1:6" x14ac:dyDescent="0.45">
      <c r="A412" t="s">
        <v>3308</v>
      </c>
      <c r="B412" t="str">
        <f>_xlfn.REGEXREPLACE([3]query3!B412, "https://doi.org/", "")</f>
        <v>10.1177/14782103211001635</v>
      </c>
      <c r="C412">
        <v>2</v>
      </c>
      <c r="D412" s="4" t="s">
        <v>3114</v>
      </c>
      <c r="E412" s="4" t="str">
        <f>'[3]rio results'!M412</f>
        <v>10.1177/08862605221118611</v>
      </c>
      <c r="F412" s="4">
        <v>5</v>
      </c>
    </row>
    <row r="413" spans="1:6" x14ac:dyDescent="0.45">
      <c r="A413" t="s">
        <v>3309</v>
      </c>
      <c r="B413" t="str">
        <f>_xlfn.REGEXREPLACE([3]query3!B413, "https://doi.org/", "")</f>
        <v>10.1111/ilr.12440</v>
      </c>
      <c r="C413">
        <v>2</v>
      </c>
      <c r="D413" s="4" t="s">
        <v>3310</v>
      </c>
      <c r="E413" s="4" t="str">
        <f>'[3]rio results'!M413</f>
        <v>10.1371/journal.pone.0282340</v>
      </c>
      <c r="F413" s="4">
        <v>5</v>
      </c>
    </row>
    <row r="414" spans="1:6" x14ac:dyDescent="0.45">
      <c r="A414" t="s">
        <v>3311</v>
      </c>
      <c r="B414" t="str">
        <f>_xlfn.REGEXREPLACE([3]query3!B414, "https://doi.org/", "")</f>
        <v>10.1186/s12889-024-19805-y</v>
      </c>
      <c r="C414">
        <v>2</v>
      </c>
      <c r="D414" s="4" t="s">
        <v>3312</v>
      </c>
      <c r="E414" s="4" t="str">
        <f>'[3]rio results'!M414</f>
        <v>10.1017/S0144686X21000477</v>
      </c>
      <c r="F414" s="4">
        <v>5</v>
      </c>
    </row>
    <row r="415" spans="1:6" x14ac:dyDescent="0.45">
      <c r="A415" t="s">
        <v>3313</v>
      </c>
      <c r="B415" t="str">
        <f>_xlfn.REGEXREPLACE([3]query3!B415, "https://doi.org/", "")</f>
        <v>10.32866/001c.13207</v>
      </c>
      <c r="C415">
        <v>2</v>
      </c>
      <c r="D415" s="4" t="s">
        <v>3314</v>
      </c>
      <c r="E415" s="4" t="str">
        <f>'[3]rio results'!M415</f>
        <v>10.1525/gp.2023.57547</v>
      </c>
      <c r="F415" s="4">
        <v>5</v>
      </c>
    </row>
    <row r="416" spans="1:6" x14ac:dyDescent="0.45">
      <c r="A416" t="s">
        <v>3315</v>
      </c>
      <c r="B416" t="str">
        <f>_xlfn.REGEXREPLACE([3]query3!B416, "https://doi.org/", "")</f>
        <v>10.1371/journal.pone.0288539</v>
      </c>
      <c r="C416">
        <v>2</v>
      </c>
      <c r="D416" s="4" t="s">
        <v>3316</v>
      </c>
      <c r="E416" s="4" t="str">
        <f>'[3]rio results'!M416</f>
        <v>10.1037/law0000401</v>
      </c>
      <c r="F416" s="4">
        <v>5</v>
      </c>
    </row>
    <row r="417" spans="1:6" x14ac:dyDescent="0.45">
      <c r="A417" t="s">
        <v>3317</v>
      </c>
      <c r="B417" t="str">
        <f>_xlfn.REGEXREPLACE([3]query3!B417, "https://doi.org/", "")</f>
        <v>10.1080/13604813.2021.1988346</v>
      </c>
      <c r="C417">
        <v>2</v>
      </c>
      <c r="D417" s="4" t="s">
        <v>3318</v>
      </c>
      <c r="E417" s="4" t="str">
        <f>'[3]rio results'!M417</f>
        <v>10.4324/9781003224495-7</v>
      </c>
      <c r="F417" s="4">
        <v>5</v>
      </c>
    </row>
    <row r="418" spans="1:6" x14ac:dyDescent="0.45">
      <c r="A418" t="s">
        <v>3319</v>
      </c>
      <c r="B418" t="str">
        <f>_xlfn.REGEXREPLACE([3]query3!B418, "https://doi.org/", "")</f>
        <v>10.1016/s2665-9913(24)00341-2</v>
      </c>
      <c r="C418">
        <v>2</v>
      </c>
      <c r="D418" s="4" t="s">
        <v>3063</v>
      </c>
      <c r="E418" s="4" t="str">
        <f>'[3]rio results'!M418</f>
        <v>10.3389/fpsyg.2023.1181872</v>
      </c>
      <c r="F418" s="4">
        <v>5</v>
      </c>
    </row>
    <row r="419" spans="1:6" x14ac:dyDescent="0.45">
      <c r="A419" t="s">
        <v>3320</v>
      </c>
      <c r="B419" t="str">
        <f>_xlfn.REGEXREPLACE([3]query3!B419, "https://doi.org/", "")</f>
        <v>10.1080/13549839.2024.2360721</v>
      </c>
      <c r="C419">
        <v>2</v>
      </c>
      <c r="D419" s="4" t="s">
        <v>3098</v>
      </c>
      <c r="E419" s="4" t="str">
        <f>'[3]rio results'!M419</f>
        <v>10.1002/jip.1604</v>
      </c>
      <c r="F419" s="4">
        <v>5</v>
      </c>
    </row>
    <row r="420" spans="1:6" x14ac:dyDescent="0.45">
      <c r="A420" t="s">
        <v>3314</v>
      </c>
      <c r="B420" t="str">
        <f>_xlfn.REGEXREPLACE([3]query3!B420, "https://doi.org/", "")</f>
        <v>10.1525/gp.2023.57547</v>
      </c>
      <c r="C420">
        <v>2</v>
      </c>
      <c r="D420" s="4" t="s">
        <v>3055</v>
      </c>
      <c r="E420" s="4" t="str">
        <f>'[3]rio results'!M420</f>
        <v>10.1136/bmjopen-2022-066522</v>
      </c>
      <c r="F420" s="4">
        <v>5</v>
      </c>
    </row>
    <row r="421" spans="1:6" x14ac:dyDescent="0.45">
      <c r="A421" t="s">
        <v>3321</v>
      </c>
      <c r="B421" t="str">
        <f>_xlfn.REGEXREPLACE([3]query3!B421, "https://doi.org/", "")</f>
        <v>10.1080/10550887.2022.2088014</v>
      </c>
      <c r="C421">
        <v>2</v>
      </c>
      <c r="D421" s="4" t="s">
        <v>3322</v>
      </c>
      <c r="E421" s="4" t="str">
        <f>'[3]rio results'!M421</f>
        <v>10.1016/j.ssmqr.2022.100192</v>
      </c>
      <c r="F421" s="4">
        <v>5</v>
      </c>
    </row>
    <row r="422" spans="1:6" x14ac:dyDescent="0.45">
      <c r="A422" t="s">
        <v>3323</v>
      </c>
      <c r="B422" t="str">
        <f>_xlfn.REGEXREPLACE([3]query3!B422, "https://doi.org/", "")</f>
        <v>10.1177/00207152241279297</v>
      </c>
      <c r="C422">
        <v>2</v>
      </c>
      <c r="D422" s="4" t="s">
        <v>3324</v>
      </c>
      <c r="E422" s="4" t="str">
        <f>'[3]rio results'!M422</f>
        <v>10.1093/bjc/azab086</v>
      </c>
      <c r="F422" s="4">
        <v>5</v>
      </c>
    </row>
    <row r="423" spans="1:6" x14ac:dyDescent="0.45">
      <c r="A423" t="s">
        <v>3325</v>
      </c>
      <c r="B423" t="str">
        <f>_xlfn.REGEXREPLACE([3]query3!B423, "https://doi.org/", "")</f>
        <v>10.2139/ssrn.4238098</v>
      </c>
      <c r="C423">
        <v>2</v>
      </c>
      <c r="D423" s="4" t="s">
        <v>3326</v>
      </c>
      <c r="E423" s="4" t="str">
        <f>'[3]rio results'!M423</f>
        <v>10.1016/j.drugalcdep.2022.109274</v>
      </c>
      <c r="F423" s="4">
        <v>5</v>
      </c>
    </row>
    <row r="424" spans="1:6" x14ac:dyDescent="0.45">
      <c r="A424" t="s">
        <v>3327</v>
      </c>
      <c r="B424" t="str">
        <f>_xlfn.REGEXREPLACE([3]query3!B424, "https://doi.org/", "")</f>
        <v>10.1177/10755470241285405</v>
      </c>
      <c r="C424">
        <v>2</v>
      </c>
      <c r="D424" s="4" t="s">
        <v>3328</v>
      </c>
      <c r="E424" s="4" t="str">
        <f>'[3]rio results'!M424</f>
        <v>10.29173/cjnser585</v>
      </c>
      <c r="F424" s="4">
        <v>5</v>
      </c>
    </row>
    <row r="425" spans="1:6" x14ac:dyDescent="0.45">
      <c r="A425" t="s">
        <v>3329</v>
      </c>
      <c r="B425" t="str">
        <f>_xlfn.REGEXREPLACE([3]query3!B425, "https://doi.org/", "")</f>
        <v>10.1016/j.vaccine.2024.01.003</v>
      </c>
      <c r="C425">
        <v>2</v>
      </c>
      <c r="D425" s="4" t="s">
        <v>3094</v>
      </c>
      <c r="E425" s="4" t="str">
        <f>'[3]rio results'!M425</f>
        <v>10.1080/23311886.2022.2117927</v>
      </c>
      <c r="F425" s="4">
        <v>5</v>
      </c>
    </row>
    <row r="426" spans="1:6" x14ac:dyDescent="0.45">
      <c r="A426" t="s">
        <v>3330</v>
      </c>
      <c r="B426" t="str">
        <f>_xlfn.REGEXREPLACE([3]query3!B426, "https://doi.org/", "")</f>
        <v>10.1016/b978-0-323-90386-8.00046-2</v>
      </c>
      <c r="C426">
        <v>2</v>
      </c>
      <c r="D426" s="4" t="s">
        <v>3072</v>
      </c>
      <c r="E426" s="4" t="str">
        <f>'[3]rio results'!M426</f>
        <v>10.1080/17440572.2022.2068525</v>
      </c>
      <c r="F426" s="4">
        <v>5</v>
      </c>
    </row>
    <row r="427" spans="1:6" x14ac:dyDescent="0.45">
      <c r="A427" t="s">
        <v>3331</v>
      </c>
      <c r="B427" t="str">
        <f>_xlfn.REGEXREPLACE([3]query3!B427, "https://doi.org/", "")</f>
        <v>10.1111/acfi.13299</v>
      </c>
      <c r="C427">
        <v>2</v>
      </c>
      <c r="D427" s="4" t="s">
        <v>3332</v>
      </c>
      <c r="E427" s="4" t="str">
        <f>'[3]rio results'!M427</f>
        <v>10.1017/9781009086547.021</v>
      </c>
      <c r="F427" s="4">
        <v>5</v>
      </c>
    </row>
    <row r="428" spans="1:6" x14ac:dyDescent="0.45">
      <c r="A428" t="s">
        <v>3333</v>
      </c>
      <c r="B428" t="str">
        <f>_xlfn.REGEXREPLACE([3]query3!B428, "https://doi.org/", "")</f>
        <v>10.1080/1461670x.2024.2358116</v>
      </c>
      <c r="C428">
        <v>2</v>
      </c>
      <c r="D428" s="4" t="s">
        <v>3334</v>
      </c>
      <c r="E428" s="4" t="str">
        <f>'[3]rio results'!M428</f>
        <v>10.3389/fpsyg.2021.718818</v>
      </c>
      <c r="F428" s="4">
        <v>5</v>
      </c>
    </row>
    <row r="429" spans="1:6" x14ac:dyDescent="0.45">
      <c r="A429" t="s">
        <v>3335</v>
      </c>
      <c r="B429" t="str">
        <f>_xlfn.REGEXREPLACE([3]query3!B429, "https://doi.org/", "")</f>
        <v>10.1108/jhom-09-2020-0370</v>
      </c>
      <c r="C429">
        <v>2</v>
      </c>
      <c r="D429" s="4" t="s">
        <v>3125</v>
      </c>
      <c r="E429" s="4" t="str">
        <f>'[3]rio results'!M429</f>
        <v>10.1016/j.jadr.2021.100229</v>
      </c>
      <c r="F429" s="4">
        <v>5</v>
      </c>
    </row>
    <row r="430" spans="1:6" x14ac:dyDescent="0.45">
      <c r="A430" t="s">
        <v>3336</v>
      </c>
      <c r="B430" t="str">
        <f>_xlfn.REGEXREPLACE([3]query3!B430, "https://doi.org/", "")</f>
        <v>10.3389/fdgth.2024.1484503</v>
      </c>
      <c r="C430">
        <v>2</v>
      </c>
      <c r="D430" s="4" t="s">
        <v>3337</v>
      </c>
      <c r="E430" s="4" t="str">
        <f>'[3]rio results'!M430</f>
        <v>10.1016/j.copsyc.2021.12.001</v>
      </c>
      <c r="F430" s="4">
        <v>5</v>
      </c>
    </row>
    <row r="431" spans="1:6" x14ac:dyDescent="0.45">
      <c r="A431" t="s">
        <v>3338</v>
      </c>
      <c r="B431" t="str">
        <f>_xlfn.REGEXREPLACE([3]query3!B431, "https://doi.org/", "")</f>
        <v>10.1016/s2352-3018(23)00106-6</v>
      </c>
      <c r="C431">
        <v>2</v>
      </c>
      <c r="D431" s="4" t="s">
        <v>3339</v>
      </c>
      <c r="E431" s="4" t="str">
        <f>'[3]rio results'!M431</f>
        <v>10.4337/9781800376489.00011</v>
      </c>
      <c r="F431" s="4">
        <v>5</v>
      </c>
    </row>
    <row r="432" spans="1:6" x14ac:dyDescent="0.45">
      <c r="A432" t="s">
        <v>3340</v>
      </c>
      <c r="B432" t="str">
        <f>_xlfn.REGEXREPLACE([3]query3!B432, "https://doi.org/", "")</f>
        <v>10.1080/10246029.2024.2341864</v>
      </c>
      <c r="C432">
        <v>2</v>
      </c>
      <c r="D432" s="4" t="s">
        <v>3341</v>
      </c>
      <c r="E432" s="4" t="str">
        <f>'[3]rio results'!M432</f>
        <v>10.1002/jcop.22455</v>
      </c>
      <c r="F432" s="4">
        <v>5</v>
      </c>
    </row>
    <row r="433" spans="1:6" x14ac:dyDescent="0.45">
      <c r="A433" t="s">
        <v>3342</v>
      </c>
      <c r="B433" t="str">
        <f>_xlfn.REGEXREPLACE([3]query3!B433, "https://doi.org/", "")</f>
        <v>10.1007/978-3-030-23210-8_128</v>
      </c>
      <c r="C433">
        <v>2</v>
      </c>
      <c r="D433" s="4" t="s">
        <v>3116</v>
      </c>
      <c r="E433" s="4" t="str">
        <f>'[3]rio results'!M433</f>
        <v>10.1007/s10584-020-02777-4</v>
      </c>
      <c r="F433" s="4">
        <v>5</v>
      </c>
    </row>
    <row r="434" spans="1:6" x14ac:dyDescent="0.45">
      <c r="A434" t="s">
        <v>3343</v>
      </c>
      <c r="B434" t="str">
        <f>_xlfn.REGEXREPLACE([3]query3!B434, "https://doi.org/", "")</f>
        <v>10.21203/rs.3.rs-36858/v1</v>
      </c>
      <c r="C434">
        <v>2</v>
      </c>
      <c r="D434" s="4" t="s">
        <v>3344</v>
      </c>
      <c r="E434" s="4" t="str">
        <f>'[3]rio results'!M434</f>
        <v>10.1080/01436597.2020.1736544</v>
      </c>
      <c r="F434" s="4">
        <v>5</v>
      </c>
    </row>
    <row r="435" spans="1:6" x14ac:dyDescent="0.45">
      <c r="A435" t="s">
        <v>3345</v>
      </c>
      <c r="B435" t="str">
        <f>_xlfn.REGEXREPLACE([3]query3!B435, "https://doi.org/", "")</f>
        <v>10.1111/abac.12279</v>
      </c>
      <c r="C435">
        <v>2</v>
      </c>
      <c r="D435" s="4" t="s">
        <v>3139</v>
      </c>
      <c r="E435" s="4" t="str">
        <f>'[3]rio results'!M435</f>
        <v>10.51291/2377-7478.1648</v>
      </c>
      <c r="F435" s="4">
        <v>5</v>
      </c>
    </row>
    <row r="436" spans="1:6" x14ac:dyDescent="0.45">
      <c r="A436" t="s">
        <v>3346</v>
      </c>
      <c r="B436" t="str">
        <f>_xlfn.REGEXREPLACE([3]query3!B436, "https://doi.org/", "")</f>
        <v>10.2139/ssrn.4795006</v>
      </c>
      <c r="C436">
        <v>2</v>
      </c>
      <c r="D436" s="4" t="s">
        <v>3347</v>
      </c>
      <c r="E436" s="4" t="str">
        <f>'[3]rio results'!M436</f>
        <v>10.4337/9781788118477.00028</v>
      </c>
      <c r="F436" s="4">
        <v>5</v>
      </c>
    </row>
    <row r="437" spans="1:6" x14ac:dyDescent="0.45">
      <c r="A437" t="s">
        <v>3348</v>
      </c>
      <c r="B437" t="str">
        <f>_xlfn.REGEXREPLACE([3]query3!B437, "https://doi.org/", "")</f>
        <v>10.1007/s42413-020-00062-x</v>
      </c>
      <c r="C437">
        <v>2</v>
      </c>
      <c r="D437" s="4" t="s">
        <v>3088</v>
      </c>
      <c r="E437" s="4" t="str">
        <f>'[3]rio results'!M437</f>
        <v>10.1186/s12889-024-20597-4</v>
      </c>
      <c r="F437" s="4">
        <v>4</v>
      </c>
    </row>
    <row r="438" spans="1:6" x14ac:dyDescent="0.45">
      <c r="A438" t="s">
        <v>3349</v>
      </c>
      <c r="B438" t="str">
        <f>_xlfn.REGEXREPLACE([3]query3!B438, "https://doi.org/", "")</f>
        <v>10.1086/717512</v>
      </c>
      <c r="C438">
        <v>2</v>
      </c>
      <c r="D438" s="4" t="s">
        <v>3350</v>
      </c>
      <c r="E438" s="4" t="str">
        <f>'[3]rio results'!M438</f>
        <v>10.1111/ilr.12440</v>
      </c>
      <c r="F438" s="4">
        <v>4</v>
      </c>
    </row>
    <row r="439" spans="1:6" x14ac:dyDescent="0.45">
      <c r="A439" t="s">
        <v>3351</v>
      </c>
      <c r="B439" t="str">
        <f>_xlfn.REGEXREPLACE([3]query3!B439, "https://doi.org/", "")</f>
        <v>10.1080/14635240.2022.2059543</v>
      </c>
      <c r="C439">
        <v>2</v>
      </c>
      <c r="D439" s="4" t="s">
        <v>3103</v>
      </c>
      <c r="E439" s="4" t="str">
        <f>'[3]rio results'!M439</f>
        <v>10.1057/s41599-024-03804-w</v>
      </c>
      <c r="F439" s="4">
        <v>4</v>
      </c>
    </row>
    <row r="440" spans="1:6" x14ac:dyDescent="0.45">
      <c r="A440" t="s">
        <v>3352</v>
      </c>
      <c r="B440" t="str">
        <f>_xlfn.REGEXREPLACE([3]query3!B440, "https://doi.org/", "")</f>
        <v>10.1007/978-3-030-61452-2_10</v>
      </c>
      <c r="C440">
        <v>2</v>
      </c>
      <c r="D440" s="4" t="s">
        <v>3166</v>
      </c>
      <c r="E440" s="4" t="str">
        <f>'[3]rio results'!M440</f>
        <v>10.1016/j.marpol.2024.106116</v>
      </c>
      <c r="F440" s="4">
        <v>4</v>
      </c>
    </row>
    <row r="441" spans="1:6" x14ac:dyDescent="0.45">
      <c r="A441" t="s">
        <v>1537</v>
      </c>
      <c r="B441" t="str">
        <f>_xlfn.REGEXREPLACE([3]query3!B441, "https://doi.org/", "")</f>
        <v>10.1080/01495933.2023.2263334</v>
      </c>
      <c r="C441">
        <v>2</v>
      </c>
      <c r="D441" s="4" t="s">
        <v>3353</v>
      </c>
      <c r="E441" s="4" t="str">
        <f>'[3]rio results'!M441</f>
        <v>10.3389/fmars.2024.1496213</v>
      </c>
      <c r="F441" s="4">
        <v>4</v>
      </c>
    </row>
    <row r="442" spans="1:6" x14ac:dyDescent="0.45">
      <c r="A442" t="s">
        <v>3354</v>
      </c>
      <c r="B442" t="str">
        <f>_xlfn.REGEXREPLACE([3]query3!B442, "https://doi.org/", "")</f>
        <v>10.7202/1072328ar</v>
      </c>
      <c r="C442">
        <v>2</v>
      </c>
      <c r="D442" s="4" t="s">
        <v>3355</v>
      </c>
      <c r="E442" s="4" t="str">
        <f>'[3]rio results'!M442</f>
        <v>10.7441/joc.2023.04.01</v>
      </c>
      <c r="F442" s="4">
        <v>4</v>
      </c>
    </row>
    <row r="443" spans="1:6" x14ac:dyDescent="0.45">
      <c r="A443" t="s">
        <v>3356</v>
      </c>
      <c r="B443" t="str">
        <f>_xlfn.REGEXREPLACE([3]query3!B443, "https://doi.org/", "")</f>
        <v>10.1257/pandp.20211100</v>
      </c>
      <c r="C443">
        <v>2</v>
      </c>
      <c r="D443" s="4" t="s">
        <v>3176</v>
      </c>
      <c r="E443" s="4" t="str">
        <f>'[3]rio results'!M443</f>
        <v>10.1007/s10796-022-10359-1</v>
      </c>
      <c r="F443" s="4">
        <v>4</v>
      </c>
    </row>
    <row r="444" spans="1:6" x14ac:dyDescent="0.45">
      <c r="A444" t="s">
        <v>3357</v>
      </c>
      <c r="B444" t="str">
        <f>_xlfn.REGEXREPLACE([3]query3!B444, "https://doi.org/", "")</f>
        <v>10.1080/01436597.2023.2251895</v>
      </c>
      <c r="C444">
        <v>2</v>
      </c>
      <c r="D444" s="4" t="s">
        <v>3129</v>
      </c>
      <c r="E444" s="4" t="str">
        <f>'[3]rio results'!M444</f>
        <v>10.1017/psrm.2022.46</v>
      </c>
      <c r="F444" s="4">
        <v>4</v>
      </c>
    </row>
    <row r="445" spans="1:6" x14ac:dyDescent="0.45">
      <c r="A445" t="s">
        <v>3358</v>
      </c>
      <c r="B445" t="str">
        <f>_xlfn.REGEXREPLACE([3]query3!B445, "https://doi.org/", "")</f>
        <v>10.1007/s42413-020-00065-8</v>
      </c>
      <c r="C445">
        <v>2</v>
      </c>
      <c r="D445" s="4" t="s">
        <v>3083</v>
      </c>
      <c r="E445" s="4" t="str">
        <f>'[3]rio results'!M445</f>
        <v>10.3390/socsci12100549</v>
      </c>
      <c r="F445" s="4">
        <v>4</v>
      </c>
    </row>
    <row r="446" spans="1:6" x14ac:dyDescent="0.45">
      <c r="A446" t="s">
        <v>3359</v>
      </c>
      <c r="B446" t="str">
        <f>_xlfn.REGEXREPLACE([3]query3!B446, "https://doi.org/", "")</f>
        <v>10.3390/su151914378</v>
      </c>
      <c r="C446">
        <v>2</v>
      </c>
      <c r="D446" s="4" t="s">
        <v>3360</v>
      </c>
      <c r="E446" s="4" t="str">
        <f>'[3]rio results'!M446</f>
        <v>10.1353/hrq.2023.a903336</v>
      </c>
      <c r="F446" s="4">
        <v>4</v>
      </c>
    </row>
    <row r="447" spans="1:6" x14ac:dyDescent="0.45">
      <c r="A447" t="s">
        <v>3361</v>
      </c>
      <c r="B447" t="str">
        <f>_xlfn.REGEXREPLACE([3]query3!B447, "https://doi.org/", "")</f>
        <v>10.1111/fme.12627</v>
      </c>
      <c r="C447">
        <v>2</v>
      </c>
      <c r="D447" s="4" t="s">
        <v>3362</v>
      </c>
      <c r="E447" s="4" t="str">
        <f>'[3]rio results'!M447</f>
        <v>10.4324/9781003299936</v>
      </c>
      <c r="F447" s="4">
        <v>4</v>
      </c>
    </row>
    <row r="448" spans="1:6" x14ac:dyDescent="0.45">
      <c r="A448" t="s">
        <v>3363</v>
      </c>
      <c r="B448" t="str">
        <f>_xlfn.REGEXREPLACE([3]query3!B448, "https://doi.org/", "")</f>
        <v>10.1186/s41239-024-00483-0</v>
      </c>
      <c r="C448">
        <v>2</v>
      </c>
      <c r="D448" s="4" t="s">
        <v>3364</v>
      </c>
      <c r="E448" s="4" t="str">
        <f>'[3]rio results'!M448</f>
        <v>10.1136/bmjopen-2022-066418</v>
      </c>
      <c r="F448" s="4">
        <v>4</v>
      </c>
    </row>
    <row r="449" spans="1:6" x14ac:dyDescent="0.45">
      <c r="A449" t="s">
        <v>3365</v>
      </c>
      <c r="B449" t="str">
        <f>_xlfn.REGEXREPLACE([3]query3!B449, "https://doi.org/", "")</f>
        <v>10.15402/esj.v8i4.70792</v>
      </c>
      <c r="C449">
        <v>2</v>
      </c>
      <c r="D449" s="4" t="s">
        <v>3135</v>
      </c>
      <c r="E449" s="4" t="str">
        <f>'[3]rio results'!M449</f>
        <v>10.3389/phrs.2023.1606110</v>
      </c>
      <c r="F449" s="4">
        <v>4</v>
      </c>
    </row>
    <row r="450" spans="1:6" x14ac:dyDescent="0.45">
      <c r="A450" t="s">
        <v>3366</v>
      </c>
      <c r="B450" t="str">
        <f>_xlfn.REGEXREPLACE([3]query3!B450, "https://doi.org/", "")</f>
        <v>10.1057/s41253-024-00261-4</v>
      </c>
      <c r="C450">
        <v>1</v>
      </c>
      <c r="D450" s="4" t="s">
        <v>3207</v>
      </c>
      <c r="E450" s="4" t="str">
        <f>'[3]rio results'!M450</f>
        <v>10.17645/mac.v11i3.6838</v>
      </c>
      <c r="F450" s="4">
        <v>4</v>
      </c>
    </row>
    <row r="451" spans="1:6" x14ac:dyDescent="0.45">
      <c r="A451" t="s">
        <v>3367</v>
      </c>
      <c r="B451" t="str">
        <f>_xlfn.REGEXREPLACE([3]query3!B451, "https://doi.org/", "")</f>
        <v>10.36939/cjur/vol30no1/art317</v>
      </c>
      <c r="C451">
        <v>1</v>
      </c>
      <c r="D451" s="4" t="s">
        <v>3368</v>
      </c>
      <c r="E451" s="4" t="str">
        <f>'[3]rio results'!M451</f>
        <v>10.1080/10510974.2023.2169730</v>
      </c>
      <c r="F451" s="4">
        <v>4</v>
      </c>
    </row>
    <row r="452" spans="1:6" x14ac:dyDescent="0.45">
      <c r="A452" t="s">
        <v>3369</v>
      </c>
      <c r="B452" t="str">
        <f>_xlfn.REGEXREPLACE([3]query3!B452, "https://doi.org/", "")</f>
        <v>10.1093/geroni/igab046.1128</v>
      </c>
      <c r="C452">
        <v>1</v>
      </c>
      <c r="D452" s="4" t="s">
        <v>3092</v>
      </c>
      <c r="E452" s="4" t="str">
        <f>'[3]rio results'!M452</f>
        <v>10.1186/s12889-022-12903-9</v>
      </c>
      <c r="F452" s="4">
        <v>4</v>
      </c>
    </row>
    <row r="453" spans="1:6" x14ac:dyDescent="0.45">
      <c r="A453" t="s">
        <v>3370</v>
      </c>
      <c r="B453" t="str">
        <f>_xlfn.REGEXREPLACE([3]query3!B453, "https://doi.org/", "")</f>
        <v>10.2196/48707</v>
      </c>
      <c r="C453">
        <v>1</v>
      </c>
      <c r="D453" s="4" t="s">
        <v>3052</v>
      </c>
      <c r="E453" s="4" t="str">
        <f>'[3]rio results'!M453</f>
        <v>10.1017/S0033291720004444</v>
      </c>
      <c r="F453" s="4">
        <v>4</v>
      </c>
    </row>
    <row r="454" spans="1:6" x14ac:dyDescent="0.45">
      <c r="A454" t="s">
        <v>3371</v>
      </c>
      <c r="B454" t="str">
        <f>_xlfn.REGEXREPLACE([3]query3!B454, "https://doi.org/", "")</f>
        <v>10.1093/oxfordhb/9780198861126.013.15</v>
      </c>
      <c r="C454">
        <v>1</v>
      </c>
      <c r="D454" s="4" t="s">
        <v>3279</v>
      </c>
      <c r="E454" s="4" t="str">
        <f>'[3]rio results'!M454</f>
        <v>10.1007/s11159-022-09980-8</v>
      </c>
      <c r="F454" s="4">
        <v>4</v>
      </c>
    </row>
    <row r="455" spans="1:6" x14ac:dyDescent="0.45">
      <c r="A455" t="s">
        <v>3372</v>
      </c>
      <c r="B455" t="str">
        <f>_xlfn.REGEXREPLACE([3]query3!B455, "https://doi.org/", "")</f>
        <v>10.1108/978-1-80455-686-320241022</v>
      </c>
      <c r="C455">
        <v>1</v>
      </c>
      <c r="D455" s="4" t="s">
        <v>3268</v>
      </c>
      <c r="E455" s="4" t="str">
        <f>'[3]rio results'!M455</f>
        <v>10.1017/S0022216X22000426</v>
      </c>
      <c r="F455" s="4">
        <v>4</v>
      </c>
    </row>
    <row r="456" spans="1:6" x14ac:dyDescent="0.45">
      <c r="A456" t="s">
        <v>3373</v>
      </c>
      <c r="B456" t="str">
        <f>_xlfn.REGEXREPLACE([3]query3!B456, "https://doi.org/", "")</f>
        <v>10.7202/1114709ar</v>
      </c>
      <c r="C456">
        <v>1</v>
      </c>
      <c r="D456" s="4" t="s">
        <v>3035</v>
      </c>
      <c r="E456" s="4" t="str">
        <f>'[3]rio results'!M456</f>
        <v>10.1002/ijop.12776</v>
      </c>
      <c r="F456" s="4">
        <v>4</v>
      </c>
    </row>
    <row r="457" spans="1:6" x14ac:dyDescent="0.45">
      <c r="A457" t="s">
        <v>3374</v>
      </c>
      <c r="B457" t="str">
        <f>_xlfn.REGEXREPLACE([3]query3!B457, "https://doi.org/", "")</f>
        <v>10.24908/cpp-apc.v2024i2.17778</v>
      </c>
      <c r="C457">
        <v>1</v>
      </c>
      <c r="D457" s="4" t="s">
        <v>3163</v>
      </c>
      <c r="E457" s="4" t="str">
        <f>'[3]rio results'!M457</f>
        <v>10.3390/rel13040363</v>
      </c>
      <c r="F457" s="4">
        <v>4</v>
      </c>
    </row>
    <row r="458" spans="1:6" x14ac:dyDescent="0.45">
      <c r="A458" t="s">
        <v>3375</v>
      </c>
      <c r="B458" t="str">
        <f>_xlfn.REGEXREPLACE([3]query3!B458, "https://doi.org/", "")</f>
        <v>10.1016/s2468-2667(24)00044-6</v>
      </c>
      <c r="C458">
        <v>1</v>
      </c>
      <c r="D458" s="4" t="s">
        <v>3376</v>
      </c>
      <c r="E458" s="4" t="str">
        <f>'[3]rio results'!M458</f>
        <v>10.1007/s12134-021-00827-z</v>
      </c>
      <c r="F458" s="4">
        <v>4</v>
      </c>
    </row>
    <row r="459" spans="1:6" x14ac:dyDescent="0.45">
      <c r="A459" t="s">
        <v>3377</v>
      </c>
      <c r="B459" t="str">
        <f>_xlfn.REGEXREPLACE([3]query3!B459, "https://doi.org/", "")</f>
        <v>10.1007/s10878-020-00588-y</v>
      </c>
      <c r="C459">
        <v>1</v>
      </c>
      <c r="D459" s="4" t="s">
        <v>3110</v>
      </c>
      <c r="E459" s="4" t="str">
        <f>'[3]rio results'!M459</f>
        <v>10.1080/09540121.2021.1929813</v>
      </c>
      <c r="F459" s="4">
        <v>4</v>
      </c>
    </row>
    <row r="460" spans="1:6" x14ac:dyDescent="0.45">
      <c r="A460" t="s">
        <v>3378</v>
      </c>
      <c r="B460" t="str">
        <f>_xlfn.REGEXREPLACE([3]query3!B460, "https://doi.org/", "")</f>
        <v>10.1093/geroni/igaa057.2489</v>
      </c>
      <c r="C460">
        <v>1</v>
      </c>
      <c r="D460" s="4" t="s">
        <v>3261</v>
      </c>
      <c r="E460" s="4" t="str">
        <f>'[3]rio results'!M460</f>
        <v>10.1080/17441692.2020.1866637</v>
      </c>
      <c r="F460" s="4">
        <v>4</v>
      </c>
    </row>
    <row r="461" spans="1:6" x14ac:dyDescent="0.45">
      <c r="A461" t="s">
        <v>3379</v>
      </c>
      <c r="B461" t="str">
        <f>_xlfn.REGEXREPLACE([3]query3!B461, "https://doi.org/", "")</f>
        <v>10.1093/geroni/igab046.1130</v>
      </c>
      <c r="C461">
        <v>1</v>
      </c>
      <c r="D461" s="4" t="s">
        <v>3159</v>
      </c>
      <c r="E461" s="4" t="str">
        <f>'[3]rio results'!M461</f>
        <v>10.1111/hsc.13289</v>
      </c>
      <c r="F461" s="4">
        <v>4</v>
      </c>
    </row>
    <row r="462" spans="1:6" x14ac:dyDescent="0.45">
      <c r="A462" t="s">
        <v>3380</v>
      </c>
      <c r="B462" t="str">
        <f>_xlfn.REGEXREPLACE([3]query3!B462, "https://doi.org/", "")</f>
        <v>10.1371/journal.pone.0314749</v>
      </c>
      <c r="C462">
        <v>1</v>
      </c>
      <c r="D462" s="4" t="s">
        <v>3181</v>
      </c>
      <c r="E462" s="4" t="str">
        <f>'[3]rio results'!M462</f>
        <v>10.1016/j.drugalcdep.2021.108829</v>
      </c>
      <c r="F462" s="4">
        <v>4</v>
      </c>
    </row>
    <row r="463" spans="1:6" x14ac:dyDescent="0.45">
      <c r="A463" t="s">
        <v>3381</v>
      </c>
      <c r="B463" t="str">
        <f>_xlfn.REGEXREPLACE([3]query3!B463, "https://doi.org/", "")</f>
        <v>10.3390/ijerph20136260</v>
      </c>
      <c r="C463">
        <v>1</v>
      </c>
      <c r="D463" s="4" t="s">
        <v>3307</v>
      </c>
      <c r="E463" s="4" t="str">
        <f>'[3]rio results'!M463</f>
        <v>10.1016/j.jce.2020.10.004</v>
      </c>
      <c r="F463" s="4">
        <v>4</v>
      </c>
    </row>
    <row r="464" spans="1:6" x14ac:dyDescent="0.45">
      <c r="A464" t="s">
        <v>3382</v>
      </c>
      <c r="B464" t="str">
        <f>_xlfn.REGEXREPLACE([3]query3!B464, "https://doi.org/", "")</f>
        <v>10.31219/osf.io/4ts53</v>
      </c>
      <c r="C464">
        <v>1</v>
      </c>
      <c r="D464" s="4" t="s">
        <v>3383</v>
      </c>
      <c r="E464" s="4" t="str">
        <f>'[3]rio results'!M464</f>
        <v>10.3138/CJCCJ.2020-0019</v>
      </c>
      <c r="F464" s="4">
        <v>4</v>
      </c>
    </row>
    <row r="465" spans="1:6" x14ac:dyDescent="0.45">
      <c r="A465" t="s">
        <v>3384</v>
      </c>
      <c r="B465" t="str">
        <f>_xlfn.REGEXREPLACE([3]query3!B465, "https://doi.org/", "")</f>
        <v>10.2139/ssrn.5045673</v>
      </c>
      <c r="C465">
        <v>1</v>
      </c>
      <c r="D465" s="4" t="s">
        <v>3053</v>
      </c>
      <c r="E465" s="4" t="str">
        <f>'[3]rio results'!M465</f>
        <v>10.1097/MLR.0000000000001335</v>
      </c>
      <c r="F465" s="4">
        <v>4</v>
      </c>
    </row>
    <row r="466" spans="1:6" x14ac:dyDescent="0.45">
      <c r="A466" t="s">
        <v>3385</v>
      </c>
      <c r="B466" t="str">
        <f>_xlfn.REGEXREPLACE([3]query3!B466, "https://doi.org/", "")</f>
        <v>10.1016/j.wneu.2020.02.133</v>
      </c>
      <c r="C466">
        <v>1</v>
      </c>
      <c r="D466" s="4" t="s">
        <v>3096</v>
      </c>
      <c r="E466" s="4" t="str">
        <f>'[3]rio results'!M466</f>
        <v>10.1386/eta_00050_3</v>
      </c>
      <c r="F466" s="4">
        <v>4</v>
      </c>
    </row>
    <row r="467" spans="1:6" x14ac:dyDescent="0.45">
      <c r="A467" t="s">
        <v>3386</v>
      </c>
      <c r="B467" t="str">
        <f>_xlfn.REGEXREPLACE([3]query3!B467, "https://doi.org/", "")</f>
        <v>10.1080/17460794.2024.2421666</v>
      </c>
      <c r="C467">
        <v>1</v>
      </c>
      <c r="D467" s="4" t="s">
        <v>3387</v>
      </c>
      <c r="E467" s="4" t="str">
        <f>'[3]rio results'!M467</f>
        <v>10.1007/s00267-020-01384-4</v>
      </c>
      <c r="F467" s="4">
        <v>4</v>
      </c>
    </row>
    <row r="468" spans="1:6" x14ac:dyDescent="0.45">
      <c r="A468" t="s">
        <v>3388</v>
      </c>
      <c r="B468" t="str">
        <f>_xlfn.REGEXREPLACE([3]query3!B468, "https://doi.org/", "")</f>
        <v>10.1186/s12939-024-02352-8</v>
      </c>
      <c r="C468">
        <v>1</v>
      </c>
      <c r="D468" s="4" t="s">
        <v>3389</v>
      </c>
      <c r="E468" s="4" t="str">
        <f>'[3]rio results'!M468</f>
        <v>10.1016/j.drugpo.2020.102912</v>
      </c>
      <c r="F468" s="4">
        <v>4</v>
      </c>
    </row>
    <row r="469" spans="1:6" x14ac:dyDescent="0.45">
      <c r="A469" t="s">
        <v>3390</v>
      </c>
      <c r="B469" t="str">
        <f>_xlfn.REGEXREPLACE([3]query3!B469, "https://doi.org/", "")</f>
        <v>10.1142/9789811296642_0011</v>
      </c>
      <c r="C469">
        <v>1</v>
      </c>
      <c r="D469" s="4" t="s">
        <v>3391</v>
      </c>
      <c r="E469" s="4" t="str">
        <f>'[3]rio results'!M469</f>
        <v>10.1386/ejac_00008_1</v>
      </c>
      <c r="F469" s="4">
        <v>4</v>
      </c>
    </row>
    <row r="470" spans="1:6" x14ac:dyDescent="0.45">
      <c r="A470" t="s">
        <v>3392</v>
      </c>
      <c r="B470" t="str">
        <f>_xlfn.REGEXREPLACE([3]query3!B470, "https://doi.org/", "")</f>
        <v>10.55016/ojs/sppp.v13i1.69445</v>
      </c>
      <c r="C470">
        <v>1</v>
      </c>
      <c r="D470" s="4" t="s">
        <v>2593</v>
      </c>
      <c r="E470" s="4" t="str">
        <f>'[3]rio results'!M470</f>
        <v>10.4324/9780429330025-6</v>
      </c>
      <c r="F470" s="4">
        <v>4</v>
      </c>
    </row>
    <row r="471" spans="1:6" x14ac:dyDescent="0.45">
      <c r="A471" t="s">
        <v>3393</v>
      </c>
      <c r="B471" t="str">
        <f>_xlfn.REGEXREPLACE([3]query3!B471, "https://doi.org/", "")</f>
        <v>10.3390/journalmedia4040072</v>
      </c>
      <c r="C471">
        <v>1</v>
      </c>
      <c r="D471" s="4" t="s">
        <v>3394</v>
      </c>
      <c r="E471" s="4">
        <f>'[3]rio results'!M471</f>
        <v>0</v>
      </c>
      <c r="F471" s="4">
        <v>3</v>
      </c>
    </row>
    <row r="472" spans="1:6" x14ac:dyDescent="0.45">
      <c r="A472" t="s">
        <v>3395</v>
      </c>
      <c r="B472" t="str">
        <f>_xlfn.REGEXREPLACE([3]query3!B472, "https://doi.org/", "")</f>
        <v>10.1093/geroni/igac059.1451</v>
      </c>
      <c r="C472">
        <v>1</v>
      </c>
      <c r="D472" s="4" t="s">
        <v>3311</v>
      </c>
      <c r="E472" s="4" t="str">
        <f>'[3]rio results'!M472</f>
        <v>10.1186/s12889-024-19805-y</v>
      </c>
      <c r="F472" s="4">
        <v>3</v>
      </c>
    </row>
    <row r="473" spans="1:6" x14ac:dyDescent="0.45">
      <c r="A473" t="s">
        <v>3396</v>
      </c>
      <c r="B473" t="str">
        <f>_xlfn.REGEXREPLACE([3]query3!B473, "https://doi.org/", "")</f>
        <v>10.1007/978-3-030-49540-4_17</v>
      </c>
      <c r="C473">
        <v>1</v>
      </c>
      <c r="D473" s="4" t="s">
        <v>3363</v>
      </c>
      <c r="E473" s="4" t="str">
        <f>'[3]rio results'!M473</f>
        <v>10.1186/s41239-024-00483-0</v>
      </c>
      <c r="F473" s="4">
        <v>3</v>
      </c>
    </row>
    <row r="474" spans="1:6" x14ac:dyDescent="0.45">
      <c r="A474" t="s">
        <v>3397</v>
      </c>
      <c r="B474" t="str">
        <f>_xlfn.REGEXREPLACE([3]query3!B474, "https://doi.org/", "")</f>
        <v>10.1093/geroni/igac059.2311</v>
      </c>
      <c r="C474">
        <v>1</v>
      </c>
      <c r="D474" s="4" t="s">
        <v>3398</v>
      </c>
      <c r="E474" s="4" t="str">
        <f>'[3]rio results'!M474</f>
        <v>10.1108/ARA-10-2023-0294</v>
      </c>
      <c r="F474" s="4">
        <v>3</v>
      </c>
    </row>
    <row r="475" spans="1:6" x14ac:dyDescent="0.45">
      <c r="A475" t="s">
        <v>3399</v>
      </c>
      <c r="B475" t="str">
        <f>_xlfn.REGEXREPLACE([3]query3!B475, "https://doi.org/", "")</f>
        <v>10.1093/geroni/igad104.0738</v>
      </c>
      <c r="C475">
        <v>1</v>
      </c>
      <c r="D475" s="4" t="s">
        <v>3400</v>
      </c>
      <c r="E475" s="4" t="str">
        <f>'[3]rio results'!M475</f>
        <v>10.1111/jgs.19155</v>
      </c>
      <c r="F475" s="4">
        <v>3</v>
      </c>
    </row>
    <row r="476" spans="1:6" x14ac:dyDescent="0.45">
      <c r="A476" t="s">
        <v>3401</v>
      </c>
      <c r="B476" t="str">
        <f>_xlfn.REGEXREPLACE([3]query3!B476, "https://doi.org/", "")</f>
        <v>10.24095/hpcdp.42.5.02</v>
      </c>
      <c r="C476">
        <v>1</v>
      </c>
      <c r="D476" s="4" t="s">
        <v>3183</v>
      </c>
      <c r="E476" s="4" t="str">
        <f>'[3]rio results'!M476</f>
        <v>10.1145/3613904.3642012</v>
      </c>
      <c r="F476" s="4">
        <v>3</v>
      </c>
    </row>
    <row r="477" spans="1:6" x14ac:dyDescent="0.45">
      <c r="A477" t="s">
        <v>3402</v>
      </c>
      <c r="B477" t="str">
        <f>_xlfn.REGEXREPLACE([3]query3!B477, "https://doi.org/", "")</f>
        <v>10.22215/cjcr.v10i2.4225</v>
      </c>
      <c r="C477">
        <v>1</v>
      </c>
      <c r="D477" s="4" t="s">
        <v>3403</v>
      </c>
      <c r="E477" s="4" t="str">
        <f>'[3]rio results'!M477</f>
        <v>10.1097/PHH.0000000000001884</v>
      </c>
      <c r="F477" s="4">
        <v>3</v>
      </c>
    </row>
    <row r="478" spans="1:6" x14ac:dyDescent="0.45">
      <c r="A478" t="s">
        <v>3404</v>
      </c>
      <c r="B478" t="str">
        <f>_xlfn.REGEXREPLACE([3]query3!B478, "https://doi.org/", "")</f>
        <v>10.1136/injuryprev-2021-safety.116</v>
      </c>
      <c r="C478">
        <v>1</v>
      </c>
      <c r="D478" s="4" t="s">
        <v>3147</v>
      </c>
      <c r="E478" s="4" t="str">
        <f>'[3]rio results'!M478</f>
        <v>10.1002/leap.1599</v>
      </c>
      <c r="F478" s="4">
        <v>3</v>
      </c>
    </row>
    <row r="479" spans="1:6" x14ac:dyDescent="0.45">
      <c r="A479" t="s">
        <v>3405</v>
      </c>
      <c r="B479" t="str">
        <f>_xlfn.REGEXREPLACE([3]query3!B479, "https://doi.org/", "")</f>
        <v>10.1093/geroni/igaa057.135</v>
      </c>
      <c r="C479">
        <v>1</v>
      </c>
      <c r="D479" s="4" t="s">
        <v>3406</v>
      </c>
      <c r="E479" s="4" t="str">
        <f>'[3]rio results'!M479</f>
        <v>10.1371/journal.pone.0296920</v>
      </c>
      <c r="F479" s="4">
        <v>3</v>
      </c>
    </row>
    <row r="480" spans="1:6" x14ac:dyDescent="0.45">
      <c r="A480" t="s">
        <v>3407</v>
      </c>
      <c r="B480" t="str">
        <f>_xlfn.REGEXREPLACE([3]query3!B480, "https://doi.org/", "")</f>
        <v>10.2196/52018</v>
      </c>
      <c r="C480">
        <v>1</v>
      </c>
      <c r="D480" s="4" t="s">
        <v>3248</v>
      </c>
      <c r="E480" s="4" t="str">
        <f>'[3]rio results'!M480</f>
        <v>10.17269/s41997-023-00843-9</v>
      </c>
      <c r="F480" s="4">
        <v>3</v>
      </c>
    </row>
    <row r="481" spans="1:6" x14ac:dyDescent="0.45">
      <c r="A481" t="s">
        <v>3408</v>
      </c>
      <c r="B481" t="str">
        <f>_xlfn.REGEXREPLACE([3]query3!B481, "https://doi.org/", "")</f>
        <v>10.1016/j.energy.2024.132560</v>
      </c>
      <c r="C481">
        <v>1</v>
      </c>
      <c r="D481" s="4" t="s">
        <v>3238</v>
      </c>
      <c r="E481" s="4" t="str">
        <f>'[3]rio results'!M481</f>
        <v>10.1080/10630732.2024.2444238</v>
      </c>
      <c r="F481" s="4">
        <v>3</v>
      </c>
    </row>
    <row r="482" spans="1:6" x14ac:dyDescent="0.45">
      <c r="A482" t="s">
        <v>3409</v>
      </c>
      <c r="B482" t="str">
        <f>_xlfn.REGEXREPLACE([3]query3!B482, "https://doi.org/", "")</f>
        <v>10.1007/978-981-99-2760-9_7</v>
      </c>
      <c r="C482">
        <v>1</v>
      </c>
      <c r="D482" s="4" t="s">
        <v>3410</v>
      </c>
      <c r="E482" s="4" t="str">
        <f>'[3]rio results'!M482</f>
        <v>10.3138/cjccj-2023-0024</v>
      </c>
      <c r="F482" s="4">
        <v>3</v>
      </c>
    </row>
    <row r="483" spans="1:6" x14ac:dyDescent="0.45">
      <c r="A483" t="s">
        <v>3411</v>
      </c>
      <c r="B483" t="str">
        <f>_xlfn.REGEXREPLACE([3]query3!B483, "https://doi.org/", "")</f>
        <v>10.1093/geroni/igae098.1107</v>
      </c>
      <c r="C483">
        <v>1</v>
      </c>
      <c r="D483" s="4" t="s">
        <v>3239</v>
      </c>
      <c r="E483" s="4" t="str">
        <f>'[3]rio results'!M483</f>
        <v>10.1080/13854046.2024.2325167</v>
      </c>
      <c r="F483" s="4">
        <v>3</v>
      </c>
    </row>
    <row r="484" spans="1:6" x14ac:dyDescent="0.45">
      <c r="A484" t="s">
        <v>3412</v>
      </c>
      <c r="B484" t="str">
        <f>_xlfn.REGEXREPLACE([3]query3!B484, "https://doi.org/", "")</f>
        <v>10.7910/dvn/nxesna</v>
      </c>
      <c r="C484">
        <v>1</v>
      </c>
      <c r="D484" s="4" t="s">
        <v>3188</v>
      </c>
      <c r="E484" s="4" t="str">
        <f>'[3]rio results'!M484</f>
        <v>10.1080/23748834.2024.2314382</v>
      </c>
      <c r="F484" s="4">
        <v>3</v>
      </c>
    </row>
    <row r="485" spans="1:6" x14ac:dyDescent="0.45">
      <c r="A485" t="s">
        <v>3413</v>
      </c>
      <c r="B485" t="str">
        <f>_xlfn.REGEXREPLACE([3]query3!B485, "https://doi.org/", "")</f>
        <v>10.5117/9789462988293_ch09</v>
      </c>
      <c r="C485">
        <v>1</v>
      </c>
      <c r="D485" s="4" t="s">
        <v>3287</v>
      </c>
      <c r="E485" s="4" t="str">
        <f>'[3]rio results'!M485</f>
        <v>10.1080/15614263.2023.2246620</v>
      </c>
      <c r="F485" s="4">
        <v>3</v>
      </c>
    </row>
    <row r="486" spans="1:6" x14ac:dyDescent="0.45">
      <c r="A486" t="s">
        <v>3145</v>
      </c>
      <c r="B486" t="str">
        <f>_xlfn.REGEXREPLACE([3]query3!B486, "https://doi.org/", "")</f>
        <v>10.32920/23657004</v>
      </c>
      <c r="C486">
        <v>1</v>
      </c>
      <c r="D486" s="4" t="s">
        <v>3351</v>
      </c>
      <c r="E486" s="4" t="str">
        <f>'[3]rio results'!M486</f>
        <v>10.1080/14635240.2022.2059543</v>
      </c>
      <c r="F486" s="4">
        <v>3</v>
      </c>
    </row>
    <row r="487" spans="1:6" x14ac:dyDescent="0.45">
      <c r="A487" t="s">
        <v>3414</v>
      </c>
      <c r="B487" t="str">
        <f>_xlfn.REGEXREPLACE([3]query3!B487, "https://doi.org/", "")</f>
        <v>10.32866/001c.90533</v>
      </c>
      <c r="C487">
        <v>1</v>
      </c>
      <c r="D487" s="4" t="s">
        <v>3415</v>
      </c>
      <c r="E487" s="4" t="str">
        <f>'[3]rio results'!M487</f>
        <v>10.1007/978-3-031-61819-2</v>
      </c>
      <c r="F487" s="4">
        <v>3</v>
      </c>
    </row>
    <row r="488" spans="1:6" x14ac:dyDescent="0.45">
      <c r="A488" t="s">
        <v>3416</v>
      </c>
      <c r="B488" t="str">
        <f>_xlfn.REGEXREPLACE([3]query3!B488, "https://doi.org/", "")</f>
        <v>10.1590/1678-9865202437e230139</v>
      </c>
      <c r="C488">
        <v>1</v>
      </c>
      <c r="D488" s="4" t="s">
        <v>3417</v>
      </c>
      <c r="E488" s="4" t="str">
        <f>'[3]rio results'!M488</f>
        <v>10.1111/obr.13623</v>
      </c>
      <c r="F488" s="4">
        <v>3</v>
      </c>
    </row>
    <row r="489" spans="1:6" x14ac:dyDescent="0.45">
      <c r="A489" t="s">
        <v>3418</v>
      </c>
      <c r="B489" t="str">
        <f>_xlfn.REGEXREPLACE([3]query3!B489, "https://doi.org/", "")</f>
        <v>10.1002/pra2.1108</v>
      </c>
      <c r="C489">
        <v>1</v>
      </c>
      <c r="D489" s="4" t="s">
        <v>3419</v>
      </c>
      <c r="E489" s="4" t="str">
        <f>'[3]rio results'!M489</f>
        <v>10.1024/1662-9647/a000301</v>
      </c>
      <c r="F489" s="4">
        <v>3</v>
      </c>
    </row>
    <row r="490" spans="1:6" x14ac:dyDescent="0.45">
      <c r="A490" t="s">
        <v>3420</v>
      </c>
      <c r="B490" t="str">
        <f>_xlfn.REGEXREPLACE([3]query3!B490, "https://doi.org/", "")</f>
        <v>10.7565/ssp.v4.5199</v>
      </c>
      <c r="C490">
        <v>1</v>
      </c>
      <c r="D490" s="4" t="s">
        <v>3277</v>
      </c>
      <c r="E490" s="4" t="str">
        <f>'[3]rio results'!M490</f>
        <v>10.1177/10780874221101393</v>
      </c>
      <c r="F490" s="4">
        <v>3</v>
      </c>
    </row>
    <row r="491" spans="1:6" x14ac:dyDescent="0.45">
      <c r="A491" t="s">
        <v>3421</v>
      </c>
      <c r="B491" t="str">
        <f>_xlfn.REGEXREPLACE([3]query3!B491, "https://doi.org/", "")</f>
        <v>10.1007/978-981-99-2760-9_4</v>
      </c>
      <c r="C491">
        <v>1</v>
      </c>
      <c r="D491" s="4" t="s">
        <v>3422</v>
      </c>
      <c r="E491" s="4" t="str">
        <f>'[3]rio results'!M491</f>
        <v>10.1017/aap.2023.8</v>
      </c>
      <c r="F491" s="4">
        <v>3</v>
      </c>
    </row>
    <row r="492" spans="1:6" x14ac:dyDescent="0.45">
      <c r="A492" t="s">
        <v>3423</v>
      </c>
      <c r="B492" t="str">
        <f>_xlfn.REGEXREPLACE([3]query3!B492, "https://doi.org/", "")</f>
        <v>10.1016/j.cub.2020.08.060</v>
      </c>
      <c r="C492">
        <v>1</v>
      </c>
      <c r="D492" s="4" t="s">
        <v>3120</v>
      </c>
      <c r="E492" s="4" t="str">
        <f>'[3]rio results'!M492</f>
        <v>10.1002/gps.5985</v>
      </c>
      <c r="F492" s="4">
        <v>3</v>
      </c>
    </row>
    <row r="493" spans="1:6" x14ac:dyDescent="0.45">
      <c r="A493" t="s">
        <v>3424</v>
      </c>
      <c r="B493" t="str">
        <f>_xlfn.REGEXREPLACE([3]query3!B493, "https://doi.org/", "")</f>
        <v>10.25236/ijfs.2022.041307</v>
      </c>
      <c r="C493">
        <v>1</v>
      </c>
      <c r="D493" s="4" t="s">
        <v>3338</v>
      </c>
      <c r="E493" s="4" t="str">
        <f>'[3]rio results'!M493</f>
        <v>10.1016/S2352-3018(23)00106-6</v>
      </c>
      <c r="F493" s="4">
        <v>3</v>
      </c>
    </row>
    <row r="494" spans="1:6" x14ac:dyDescent="0.45">
      <c r="A494" t="s">
        <v>3425</v>
      </c>
      <c r="B494" t="str">
        <f>_xlfn.REGEXREPLACE([3]query3!B494, "https://doi.org/", "")</f>
        <v>10.1080/02701960.2022.2088534</v>
      </c>
      <c r="C494">
        <v>1</v>
      </c>
      <c r="D494" s="4" t="s">
        <v>3226</v>
      </c>
      <c r="E494" s="4" t="str">
        <f>'[3]rio results'!M494</f>
        <v>10.1016/j.psychres.2023.115331</v>
      </c>
      <c r="F494" s="4">
        <v>3</v>
      </c>
    </row>
    <row r="495" spans="1:6" x14ac:dyDescent="0.45">
      <c r="A495" t="s">
        <v>3426</v>
      </c>
      <c r="B495" t="str">
        <f>_xlfn.REGEXREPLACE([3]query3!B495, "https://doi.org/", "")</f>
        <v>10.1080/09687599.2023.2299344</v>
      </c>
      <c r="C495">
        <v>1</v>
      </c>
      <c r="D495" s="4" t="s">
        <v>3263</v>
      </c>
      <c r="E495" s="4" t="str">
        <f>'[3]rio results'!M495</f>
        <v>10.1177/10497323231167829</v>
      </c>
      <c r="F495" s="4">
        <v>3</v>
      </c>
    </row>
    <row r="496" spans="1:6" x14ac:dyDescent="0.45">
      <c r="A496" t="s">
        <v>3427</v>
      </c>
      <c r="B496" t="str">
        <f>_xlfn.REGEXREPLACE([3]query3!B496, "https://doi.org/", "")</f>
        <v>10.1200/po.24.00184</v>
      </c>
      <c r="C496">
        <v>1</v>
      </c>
      <c r="D496" s="4" t="s">
        <v>3131</v>
      </c>
      <c r="E496" s="4" t="str">
        <f>'[3]rio results'!M496</f>
        <v>10.1177/0044118X221140929</v>
      </c>
      <c r="F496" s="4">
        <v>3</v>
      </c>
    </row>
    <row r="497" spans="1:6" x14ac:dyDescent="0.45">
      <c r="A497" t="s">
        <v>3428</v>
      </c>
      <c r="B497" t="str">
        <f>_xlfn.REGEXREPLACE([3]query3!B497, "https://doi.org/", "")</f>
        <v>10.1007/978-3-031-68020-5_11</v>
      </c>
      <c r="C497">
        <v>1</v>
      </c>
      <c r="D497" s="4" t="s">
        <v>3429</v>
      </c>
      <c r="E497" s="4" t="str">
        <f>'[3]rio results'!M497</f>
        <v>10.1079/9781800622975.0016</v>
      </c>
      <c r="F497" s="4">
        <v>3</v>
      </c>
    </row>
    <row r="498" spans="1:6" x14ac:dyDescent="0.45">
      <c r="A498" t="s">
        <v>3430</v>
      </c>
      <c r="B498" t="str">
        <f>_xlfn.REGEXREPLACE([3]query3!B498, "https://doi.org/", "")</f>
        <v>10.5465/ambpp.2020.11994symposium</v>
      </c>
      <c r="C498">
        <v>1</v>
      </c>
      <c r="D498" s="4" t="s">
        <v>3431</v>
      </c>
      <c r="E498" s="4" t="str">
        <f>'[3]rio results'!M498</f>
        <v>10.5055/jom.2023.0778</v>
      </c>
      <c r="F498" s="4">
        <v>3</v>
      </c>
    </row>
    <row r="499" spans="1:6" x14ac:dyDescent="0.45">
      <c r="A499" t="s">
        <v>3432</v>
      </c>
      <c r="B499" t="str">
        <f>_xlfn.REGEXREPLACE([3]query3!B499, "https://doi.org/", "")</f>
        <v>10.21203/rs.3.rs-36858/v2</v>
      </c>
      <c r="C499">
        <v>1</v>
      </c>
      <c r="D499" s="4" t="s">
        <v>3433</v>
      </c>
      <c r="E499" s="4" t="str">
        <f>'[3]rio results'!M499</f>
        <v>10.1037/prj0000575</v>
      </c>
      <c r="F499" s="4">
        <v>3</v>
      </c>
    </row>
    <row r="500" spans="1:6" x14ac:dyDescent="0.45">
      <c r="A500" t="s">
        <v>3434</v>
      </c>
      <c r="B500" t="str">
        <f>_xlfn.REGEXREPLACE([3]query3!B500, "https://doi.org/", "")</f>
        <v>10.1016/s2214-109x(24)00123-2</v>
      </c>
      <c r="C500">
        <v>1</v>
      </c>
      <c r="D500" s="4" t="s">
        <v>3435</v>
      </c>
      <c r="E500" s="4" t="str">
        <f>'[3]rio results'!M500</f>
        <v>10.17645/up.v8i4.6527</v>
      </c>
      <c r="F500" s="4">
        <v>3</v>
      </c>
    </row>
    <row r="501" spans="1:6" x14ac:dyDescent="0.45">
      <c r="A501" t="s">
        <v>3436</v>
      </c>
      <c r="B501" t="str">
        <f>_xlfn.REGEXREPLACE([3]query3!B501, "https://doi.org/", "")</f>
        <v>10.22720/hnmr.2022.6.2.299</v>
      </c>
      <c r="C501">
        <v>1</v>
      </c>
      <c r="D501" s="4" t="s">
        <v>3204</v>
      </c>
      <c r="E501" s="4" t="str">
        <f>'[3]rio results'!M501</f>
        <v>10.1093/jlb/lsad014</v>
      </c>
      <c r="F501" s="4">
        <v>3</v>
      </c>
    </row>
    <row r="502" spans="1:6" x14ac:dyDescent="0.45">
      <c r="A502" t="s">
        <v>3437</v>
      </c>
      <c r="B502" t="str">
        <f>_xlfn.REGEXREPLACE([3]query3!B502, "https://doi.org/", "")</f>
        <v>10.1590/1413-81232024293.06732023</v>
      </c>
      <c r="C502">
        <v>1</v>
      </c>
      <c r="D502" s="4" t="s">
        <v>3438</v>
      </c>
      <c r="E502" s="4" t="str">
        <f>'[3]rio results'!M502</f>
        <v>10.17645/up.v8i2.6461</v>
      </c>
      <c r="F502" s="4">
        <v>3</v>
      </c>
    </row>
    <row r="503" spans="1:6" x14ac:dyDescent="0.45">
      <c r="A503" t="s">
        <v>2919</v>
      </c>
      <c r="B503" t="str">
        <f>_xlfn.REGEXREPLACE([3]query3!B503, "https://doi.org/", "")</f>
        <v>10.1017/9781107323728</v>
      </c>
      <c r="C503">
        <v>1</v>
      </c>
      <c r="D503" s="4" t="s">
        <v>3177</v>
      </c>
      <c r="E503" s="4">
        <f>'[3]rio results'!M503</f>
        <v>0</v>
      </c>
      <c r="F503" s="4">
        <v>3</v>
      </c>
    </row>
    <row r="504" spans="1:6" x14ac:dyDescent="0.45">
      <c r="A504" t="s">
        <v>3439</v>
      </c>
      <c r="B504" t="str">
        <f>_xlfn.REGEXREPLACE([3]query3!B504, "https://doi.org/", "")</f>
        <v>10.1590/1413-81232024293.06732023en</v>
      </c>
      <c r="C504">
        <v>1</v>
      </c>
      <c r="D504" s="4" t="s">
        <v>2871</v>
      </c>
      <c r="E504" s="4" t="str">
        <f>'[3]rio results'!M504</f>
        <v>10.24908/ss.v21i1.14609</v>
      </c>
      <c r="F504" s="4">
        <v>3</v>
      </c>
    </row>
    <row r="505" spans="1:6" x14ac:dyDescent="0.45">
      <c r="A505" t="s">
        <v>3440</v>
      </c>
      <c r="B505" t="str">
        <f>_xlfn.REGEXREPLACE([3]query3!B505, "https://doi.org/", "")</f>
        <v>10.1007/978-981-16-5379-7_5</v>
      </c>
      <c r="C505">
        <v>1</v>
      </c>
      <c r="D505" s="4" t="s">
        <v>3225</v>
      </c>
      <c r="E505" s="4" t="str">
        <f>'[3]rio results'!M505</f>
        <v>10.1080/19361610.2021.2005503</v>
      </c>
      <c r="F505" s="4">
        <v>3</v>
      </c>
    </row>
    <row r="506" spans="1:6" x14ac:dyDescent="0.45">
      <c r="A506" t="s">
        <v>3441</v>
      </c>
      <c r="B506" t="str">
        <f>_xlfn.REGEXREPLACE([3]query3!B506, "https://doi.org/", "")</f>
        <v>10.1139/facets-2023-0033</v>
      </c>
      <c r="C506">
        <v>1</v>
      </c>
      <c r="D506" s="4" t="s">
        <v>3442</v>
      </c>
      <c r="E506" s="4" t="str">
        <f>'[3]rio results'!M506</f>
        <v>10.1186/s12889-022-12599-x</v>
      </c>
      <c r="F506" s="4">
        <v>3</v>
      </c>
    </row>
    <row r="507" spans="1:6" x14ac:dyDescent="0.45">
      <c r="A507" t="s">
        <v>3443</v>
      </c>
      <c r="B507" t="str">
        <f>_xlfn.REGEXREPLACE([3]query3!B507, "https://doi.org/", "")</f>
        <v>10.12681/historein.24980</v>
      </c>
      <c r="C507">
        <v>1</v>
      </c>
      <c r="D507" s="4" t="s">
        <v>3161</v>
      </c>
      <c r="E507" s="4" t="str">
        <f>'[3]rio results'!M507</f>
        <v>10.33423/jhetp.v22i16.5615</v>
      </c>
      <c r="F507" s="4">
        <v>3</v>
      </c>
    </row>
    <row r="508" spans="1:6" x14ac:dyDescent="0.45">
      <c r="A508" t="s">
        <v>3444</v>
      </c>
      <c r="B508" t="str">
        <f>_xlfn.REGEXREPLACE([3]query3!B508, "https://doi.org/", "")</f>
        <v>10.1007/978-3-030-89559-4_2</v>
      </c>
      <c r="C508">
        <v>1</v>
      </c>
      <c r="D508" s="4" t="s">
        <v>3445</v>
      </c>
      <c r="E508" s="4" t="str">
        <f>'[3]rio results'!M508</f>
        <v>10.4324/9781003163954-42</v>
      </c>
      <c r="F508" s="4">
        <v>3</v>
      </c>
    </row>
    <row r="509" spans="1:6" x14ac:dyDescent="0.45">
      <c r="A509" t="s">
        <v>3446</v>
      </c>
      <c r="B509" t="str">
        <f>_xlfn.REGEXREPLACE([3]query3!B509, "https://doi.org/", "")</f>
        <v>10.33282/abaa.v14i56.878</v>
      </c>
      <c r="C509">
        <v>1</v>
      </c>
      <c r="D509" s="4" t="s">
        <v>3447</v>
      </c>
      <c r="E509" s="4" t="str">
        <f>'[3]rio results'!M509</f>
        <v>10.1145/3534540.3534690</v>
      </c>
      <c r="F509" s="4">
        <v>3</v>
      </c>
    </row>
    <row r="510" spans="1:6" x14ac:dyDescent="0.45">
      <c r="A510" t="s">
        <v>3448</v>
      </c>
      <c r="B510" t="str">
        <f>_xlfn.REGEXREPLACE([3]query3!B510, "https://doi.org/", "")</f>
        <v>10.3389/fpsyg.2024.1374330</v>
      </c>
      <c r="C510">
        <v>1</v>
      </c>
      <c r="D510" s="4" t="s">
        <v>3202</v>
      </c>
      <c r="E510" s="4" t="str">
        <f>'[3]rio results'!M510</f>
        <v>10.1007/978-981-16-5864-8_6</v>
      </c>
      <c r="F510" s="4">
        <v>3</v>
      </c>
    </row>
    <row r="511" spans="1:6" x14ac:dyDescent="0.45">
      <c r="A511" t="s">
        <v>3449</v>
      </c>
      <c r="B511" t="str">
        <f>_xlfn.REGEXREPLACE([3]query3!B511, "https://doi.org/", "")</f>
        <v>10.5206/ijoh.2023.3.16988</v>
      </c>
      <c r="C511">
        <v>1</v>
      </c>
      <c r="D511" s="4" t="s">
        <v>3450</v>
      </c>
      <c r="E511" s="4" t="str">
        <f>'[3]rio results'!M511</f>
        <v>10.1007/978-3-031-05020-6_1</v>
      </c>
      <c r="F511" s="4">
        <v>3</v>
      </c>
    </row>
    <row r="512" spans="1:6" x14ac:dyDescent="0.45">
      <c r="A512" t="s">
        <v>3451</v>
      </c>
      <c r="B512" t="str">
        <f>_xlfn.REGEXREPLACE([3]query3!B512, "https://doi.org/", "")</f>
        <v>10.12927/hcpap.2023.26994</v>
      </c>
      <c r="C512">
        <v>1</v>
      </c>
      <c r="D512" s="4" t="s">
        <v>3267</v>
      </c>
      <c r="E512" s="4" t="str">
        <f>'[3]rio results'!M512</f>
        <v>10.1139/facets-2022-0048</v>
      </c>
      <c r="F512" s="4">
        <v>3</v>
      </c>
    </row>
    <row r="513" spans="1:6" x14ac:dyDescent="0.45">
      <c r="A513" t="s">
        <v>3452</v>
      </c>
      <c r="B513" t="str">
        <f>_xlfn.REGEXREPLACE([3]query3!B513, "https://doi.org/", "")</f>
        <v>10.21203/rs.3.rs-2603067/v1</v>
      </c>
      <c r="C513">
        <v>1</v>
      </c>
      <c r="D513" s="4" t="s">
        <v>3453</v>
      </c>
      <c r="E513" s="4" t="str">
        <f>'[3]rio results'!M513</f>
        <v>10.1080/01972243.2022.2076180</v>
      </c>
      <c r="F513" s="4">
        <v>3</v>
      </c>
    </row>
    <row r="514" spans="1:6" x14ac:dyDescent="0.45">
      <c r="A514" t="s">
        <v>3454</v>
      </c>
      <c r="B514" t="str">
        <f>_xlfn.REGEXREPLACE([3]query3!B514, "https://doi.org/", "")</f>
        <v>10.1371/journal.pone.0294608</v>
      </c>
      <c r="C514">
        <v>1</v>
      </c>
      <c r="D514" s="4" t="s">
        <v>3455</v>
      </c>
      <c r="E514" s="4" t="str">
        <f>'[3]rio results'!M514</f>
        <v>10.1037/amp0000897</v>
      </c>
      <c r="F514" s="4">
        <v>3</v>
      </c>
    </row>
    <row r="515" spans="1:6" x14ac:dyDescent="0.45">
      <c r="A515" t="s">
        <v>3456</v>
      </c>
      <c r="B515" t="str">
        <f>_xlfn.REGEXREPLACE([3]query3!B515, "https://doi.org/", "")</f>
        <v>10.24135/dcj.v4i1.38</v>
      </c>
      <c r="C515">
        <v>1</v>
      </c>
      <c r="D515" s="4" t="s">
        <v>3457</v>
      </c>
      <c r="E515" s="4" t="str">
        <f>'[3]rio results'!M515</f>
        <v>10.1111/capa.12443</v>
      </c>
      <c r="F515" s="4">
        <v>3</v>
      </c>
    </row>
    <row r="516" spans="1:6" x14ac:dyDescent="0.45">
      <c r="A516" t="s">
        <v>3458</v>
      </c>
      <c r="B516" t="str">
        <f>_xlfn.REGEXREPLACE([3]query3!B516, "https://doi.org/", "")</f>
        <v>10.1080/14680777.2020.1785910</v>
      </c>
      <c r="C516">
        <v>1</v>
      </c>
      <c r="D516" s="4" t="s">
        <v>3459</v>
      </c>
      <c r="E516" s="4" t="str">
        <f>'[3]rio results'!M516</f>
        <v>10.1136/bmjopen-2020-046957</v>
      </c>
      <c r="F516" s="4">
        <v>3</v>
      </c>
    </row>
    <row r="517" spans="1:6" x14ac:dyDescent="0.45">
      <c r="A517" t="s">
        <v>3460</v>
      </c>
      <c r="B517" t="str">
        <f>_xlfn.REGEXREPLACE([3]query3!B517, "https://doi.org/", "")</f>
        <v>10.2139/ssrn.3898749</v>
      </c>
      <c r="C517">
        <v>1</v>
      </c>
      <c r="D517" s="4" t="s">
        <v>3461</v>
      </c>
      <c r="E517" s="4" t="str">
        <f>'[3]rio results'!M517</f>
        <v>10.1111/hic3.12679</v>
      </c>
      <c r="F517" s="4">
        <v>3</v>
      </c>
    </row>
    <row r="518" spans="1:6" x14ac:dyDescent="0.45">
      <c r="A518" t="s">
        <v>3462</v>
      </c>
      <c r="B518" t="str">
        <f>_xlfn.REGEXREPLACE([3]query3!B518, "https://doi.org/", "")</f>
        <v>10.1111/capa.12588</v>
      </c>
      <c r="C518">
        <v>1</v>
      </c>
      <c r="D518" s="4" t="s">
        <v>3463</v>
      </c>
      <c r="E518" s="4" t="str">
        <f>'[3]rio results'!M518</f>
        <v>10.1111/hic3.12680</v>
      </c>
      <c r="F518" s="4">
        <v>3</v>
      </c>
    </row>
    <row r="519" spans="1:6" x14ac:dyDescent="0.45">
      <c r="A519" t="s">
        <v>3464</v>
      </c>
      <c r="B519" t="str">
        <f>_xlfn.REGEXREPLACE([3]query3!B519, "https://doi.org/", "")</f>
        <v>10.1007/978-981-19-5065-0_4</v>
      </c>
      <c r="C519">
        <v>1</v>
      </c>
      <c r="D519" s="4" t="s">
        <v>3465</v>
      </c>
      <c r="E519" s="4" t="str">
        <f>'[3]rio results'!M519</f>
        <v>10.1093/scipol/scz062</v>
      </c>
      <c r="F519" s="4">
        <v>3</v>
      </c>
    </row>
    <row r="520" spans="1:6" x14ac:dyDescent="0.45">
      <c r="A520" t="s">
        <v>3466</v>
      </c>
      <c r="B520" t="str">
        <f>_xlfn.REGEXREPLACE([3]query3!B520, "https://doi.org/", "")</f>
        <v>10.2139/ssrn.4165777</v>
      </c>
      <c r="C520">
        <v>1</v>
      </c>
      <c r="D520" s="4" t="s">
        <v>3157</v>
      </c>
      <c r="E520" s="4" t="str">
        <f>'[3]rio results'!M520</f>
        <v>10.1017/S0008423920000888</v>
      </c>
      <c r="F520" s="4">
        <v>3</v>
      </c>
    </row>
    <row r="521" spans="1:6" x14ac:dyDescent="0.45">
      <c r="A521" t="s">
        <v>1738</v>
      </c>
      <c r="B521" t="str">
        <f>_xlfn.REGEXREPLACE([3]query3!B521, "https://doi.org/", "")</f>
        <v>10.25300/misq/2024/18049</v>
      </c>
      <c r="C521">
        <v>1</v>
      </c>
      <c r="D521" s="4" t="s">
        <v>3467</v>
      </c>
      <c r="E521" s="4" t="str">
        <f>'[3]rio results'!M521</f>
        <v>10.1007/s13347-019-00371-w</v>
      </c>
      <c r="F521" s="4">
        <v>3</v>
      </c>
    </row>
    <row r="522" spans="1:6" x14ac:dyDescent="0.45">
      <c r="A522" t="s">
        <v>3468</v>
      </c>
      <c r="B522" t="str">
        <f>_xlfn.REGEXREPLACE([3]query3!B522, "https://doi.org/", "")</f>
        <v/>
      </c>
      <c r="C522">
        <v>1</v>
      </c>
      <c r="D522" s="4" t="s">
        <v>3224</v>
      </c>
      <c r="E522" s="4" t="str">
        <f>'[3]rio results'!M522</f>
        <v>10.1016/j.wss.2020.100008</v>
      </c>
      <c r="F522" s="4">
        <v>3</v>
      </c>
    </row>
    <row r="523" spans="1:6" x14ac:dyDescent="0.45">
      <c r="A523" t="s">
        <v>3469</v>
      </c>
      <c r="B523" t="str">
        <f>_xlfn.REGEXREPLACE([3]query3!B523, "https://doi.org/", "")</f>
        <v>10.1007/978-3-031-72182-3_8</v>
      </c>
      <c r="C523">
        <v>0</v>
      </c>
      <c r="D523" s="4" t="s">
        <v>3470</v>
      </c>
      <c r="E523" s="4" t="str">
        <f>'[3]rio results'!M523</f>
        <v>10.4324/9780429286322-35</v>
      </c>
      <c r="F523" s="4">
        <v>3</v>
      </c>
    </row>
    <row r="524" spans="1:6" x14ac:dyDescent="0.45">
      <c r="A524" t="s">
        <v>3471</v>
      </c>
      <c r="B524" t="str">
        <f>_xlfn.REGEXREPLACE([3]query3!B524, "https://doi.org/", "")</f>
        <v>10.1017/s0008423923000069</v>
      </c>
      <c r="C524">
        <v>0</v>
      </c>
      <c r="D524" s="4" t="s">
        <v>3472</v>
      </c>
      <c r="E524" s="4" t="str">
        <f>'[3]rio results'!M524</f>
        <v>10.4324/9780429286322-1</v>
      </c>
      <c r="F524" s="4">
        <v>3</v>
      </c>
    </row>
    <row r="525" spans="1:6" x14ac:dyDescent="0.45">
      <c r="A525" t="s">
        <v>3473</v>
      </c>
      <c r="B525" t="str">
        <f>_xlfn.REGEXREPLACE([3]query3!B525, "https://doi.org/", "")</f>
        <v>10.1007/978-3-031-29937-7_5</v>
      </c>
      <c r="C525">
        <v>0</v>
      </c>
      <c r="D525" s="4" t="s">
        <v>3474</v>
      </c>
      <c r="E525" s="4" t="str">
        <f>'[3]rio results'!M525</f>
        <v>10.4324/9780429286322-20</v>
      </c>
      <c r="F525" s="4">
        <v>3</v>
      </c>
    </row>
    <row r="526" spans="1:6" x14ac:dyDescent="0.45">
      <c r="A526" t="s">
        <v>3475</v>
      </c>
      <c r="B526" t="str">
        <f>_xlfn.REGEXREPLACE([3]query3!B526, "https://doi.org/", "")</f>
        <v>10.32920/ryerson.14656866.v1</v>
      </c>
      <c r="C526">
        <v>0</v>
      </c>
      <c r="D526" s="4" t="s">
        <v>3476</v>
      </c>
      <c r="E526" s="4" t="str">
        <f>'[3]rio results'!M526</f>
        <v>10.1080/09540121.2021.1874272</v>
      </c>
      <c r="F526" s="4">
        <v>3</v>
      </c>
    </row>
    <row r="527" spans="1:6" x14ac:dyDescent="0.45">
      <c r="A527" t="s">
        <v>3475</v>
      </c>
      <c r="B527" t="str">
        <f>_xlfn.REGEXREPLACE([3]query3!B527, "https://doi.org/", "")</f>
        <v>10.32920/ryerson.14656866</v>
      </c>
      <c r="C527">
        <v>0</v>
      </c>
      <c r="D527" s="4" t="s">
        <v>3348</v>
      </c>
      <c r="E527" s="4" t="str">
        <f>'[3]rio results'!M527</f>
        <v>10.1007/s42413-020-00062-x</v>
      </c>
      <c r="F527" s="4">
        <v>3</v>
      </c>
    </row>
    <row r="528" spans="1:6" x14ac:dyDescent="0.45">
      <c r="A528" t="s">
        <v>3477</v>
      </c>
      <c r="B528" t="str">
        <f>_xlfn.REGEXREPLACE([3]query3!B528, "https://doi.org/", "")</f>
        <v>10.1289/isee.2021.o-sy-104</v>
      </c>
      <c r="C528">
        <v>0</v>
      </c>
      <c r="D528" s="4" t="s">
        <v>3478</v>
      </c>
      <c r="E528" s="4" t="str">
        <f>'[3]rio results'!M528</f>
        <v>10.1111/cag.12645</v>
      </c>
      <c r="F528" s="4">
        <v>3</v>
      </c>
    </row>
    <row r="529" spans="1:6" x14ac:dyDescent="0.45">
      <c r="A529" t="s">
        <v>3479</v>
      </c>
      <c r="B529" t="str">
        <f>_xlfn.REGEXREPLACE([3]query3!B529, "https://doi.org/", "")</f>
        <v>10.21926/obm.geriatr.2401267</v>
      </c>
      <c r="C529">
        <v>0</v>
      </c>
      <c r="D529" s="4" t="s">
        <v>3143</v>
      </c>
      <c r="E529" s="4" t="str">
        <f>'[3]rio results'!M529</f>
        <v>10.1016/j.jdeveco.2020.102516</v>
      </c>
      <c r="F529" s="4">
        <v>3</v>
      </c>
    </row>
    <row r="530" spans="1:6" x14ac:dyDescent="0.45">
      <c r="A530" t="s">
        <v>3480</v>
      </c>
      <c r="B530" t="str">
        <f>_xlfn.REGEXREPLACE([3]query3!B530, "https://doi.org/", "")</f>
        <v>10.1093/geroni/igab046.2039</v>
      </c>
      <c r="C530">
        <v>0</v>
      </c>
      <c r="D530" s="4" t="s">
        <v>3377</v>
      </c>
      <c r="E530" s="4" t="str">
        <f>'[3]rio results'!M530</f>
        <v>10.1007/s10878-020-00588-y</v>
      </c>
      <c r="F530" s="4">
        <v>3</v>
      </c>
    </row>
    <row r="531" spans="1:6" x14ac:dyDescent="0.45">
      <c r="A531" t="s">
        <v>3481</v>
      </c>
      <c r="B531" t="str">
        <f>_xlfn.REGEXREPLACE([3]query3!B531, "https://doi.org/", "")</f>
        <v>10.1093/geroni/igab046.1131</v>
      </c>
      <c r="C531">
        <v>0</v>
      </c>
      <c r="D531" s="4" t="s">
        <v>3482</v>
      </c>
      <c r="E531" s="4" t="str">
        <f>'[3]rio results'!M531</f>
        <v>10.1080/02660830.2019.1595340</v>
      </c>
      <c r="F531" s="4">
        <v>3</v>
      </c>
    </row>
    <row r="532" spans="1:6" x14ac:dyDescent="0.45">
      <c r="A532" t="s">
        <v>3483</v>
      </c>
      <c r="B532" t="str">
        <f>_xlfn.REGEXREPLACE([3]query3!B532, "https://doi.org/", "")</f>
        <v>10.24124/2023/59436</v>
      </c>
      <c r="C532">
        <v>0</v>
      </c>
      <c r="D532" s="4" t="s">
        <v>3484</v>
      </c>
      <c r="E532" s="4" t="str">
        <f>'[3]rio results'!M532</f>
        <v>10.14254/1795-6889.2024.20-3.4</v>
      </c>
      <c r="F532" s="4">
        <v>2</v>
      </c>
    </row>
    <row r="533" spans="1:6" x14ac:dyDescent="0.45">
      <c r="A533" t="s">
        <v>3485</v>
      </c>
      <c r="B533" t="str">
        <f>_xlfn.REGEXREPLACE([3]query3!B533, "https://doi.org/", "")</f>
        <v>10.1093/geroni/igad104.0207</v>
      </c>
      <c r="C533">
        <v>0</v>
      </c>
      <c r="D533" s="4" t="s">
        <v>3303</v>
      </c>
      <c r="E533" s="4" t="str">
        <f>'[3]rio results'!M533</f>
        <v>10.1123/ssj.2023-0183</v>
      </c>
      <c r="F533" s="4">
        <v>2</v>
      </c>
    </row>
    <row r="534" spans="1:6" x14ac:dyDescent="0.45">
      <c r="A534" t="s">
        <v>3486</v>
      </c>
      <c r="B534" t="str">
        <f>_xlfn.REGEXREPLACE([3]query3!B534, "https://doi.org/", "")</f>
        <v>10.1007/978-3-030-66252-3_1312</v>
      </c>
      <c r="C534">
        <v>0</v>
      </c>
      <c r="D534" s="4" t="s">
        <v>3487</v>
      </c>
      <c r="E534" s="4" t="str">
        <f>'[3]rio results'!M534</f>
        <v>10.1002/pra2.1108</v>
      </c>
      <c r="F534" s="4">
        <v>2</v>
      </c>
    </row>
    <row r="535" spans="1:6" x14ac:dyDescent="0.45">
      <c r="A535" t="s">
        <v>3488</v>
      </c>
      <c r="B535" t="str">
        <f>_xlfn.REGEXREPLACE([3]query3!B535, "https://doi.org/", "")</f>
        <v>10.2139/ssrn.5063451</v>
      </c>
      <c r="C535">
        <v>0</v>
      </c>
      <c r="D535" s="4" t="s">
        <v>3489</v>
      </c>
      <c r="E535" s="4" t="str">
        <f>'[3]rio results'!M535</f>
        <v>10.2471/BLT.24.291579</v>
      </c>
      <c r="F535" s="4">
        <v>2</v>
      </c>
    </row>
    <row r="536" spans="1:6" x14ac:dyDescent="0.45">
      <c r="A536" t="s">
        <v>3490</v>
      </c>
      <c r="B536" t="str">
        <f>_xlfn.REGEXREPLACE([3]query3!B536, "https://doi.org/", "")</f>
        <v>10.2139/ssrn.5008666</v>
      </c>
      <c r="C536">
        <v>0</v>
      </c>
      <c r="D536" s="4" t="s">
        <v>3491</v>
      </c>
      <c r="E536" s="4" t="str">
        <f>'[3]rio results'!M536</f>
        <v>10.1177/01634437231225031</v>
      </c>
      <c r="F536" s="4">
        <v>2</v>
      </c>
    </row>
    <row r="537" spans="1:6" x14ac:dyDescent="0.45">
      <c r="A537" t="s">
        <v>3492</v>
      </c>
      <c r="B537" t="str">
        <f>_xlfn.REGEXREPLACE([3]query3!B537, "https://doi.org/", "")</f>
        <v>10.1007/978-3-031-68020-5_5</v>
      </c>
      <c r="C537">
        <v>0</v>
      </c>
      <c r="D537" s="4" t="s">
        <v>3493</v>
      </c>
      <c r="E537" s="4" t="str">
        <f>'[3]rio results'!M537</f>
        <v>10.1007/s00267-024-01975-5</v>
      </c>
      <c r="F537" s="4">
        <v>2</v>
      </c>
    </row>
    <row r="538" spans="1:6" x14ac:dyDescent="0.45">
      <c r="A538" t="s">
        <v>3494</v>
      </c>
      <c r="B538" t="str">
        <f>_xlfn.REGEXREPLACE([3]query3!B538, "https://doi.org/", "")</f>
        <v>10.5117/9789463720762_ch04</v>
      </c>
      <c r="C538">
        <v>0</v>
      </c>
      <c r="D538" s="4" t="s">
        <v>3495</v>
      </c>
      <c r="E538" s="4" t="str">
        <f>'[3]rio results'!M538</f>
        <v>10.1017/cts.2024.550</v>
      </c>
      <c r="F538" s="4">
        <v>2</v>
      </c>
    </row>
    <row r="539" spans="1:6" x14ac:dyDescent="0.45">
      <c r="A539" t="s">
        <v>3496</v>
      </c>
      <c r="B539" t="str">
        <f>_xlfn.REGEXREPLACE([3]query3!B539, "https://doi.org/", "")</f>
        <v>10.21203/rs.3.rs-5283574/v1</v>
      </c>
      <c r="C539">
        <v>0</v>
      </c>
      <c r="D539" s="4" t="s">
        <v>3497</v>
      </c>
      <c r="E539" s="4" t="str">
        <f>'[3]rio results'!M539</f>
        <v>10.1353/cpr.2024.a948676</v>
      </c>
      <c r="F539" s="4">
        <v>2</v>
      </c>
    </row>
    <row r="540" spans="1:6" x14ac:dyDescent="0.45">
      <c r="A540" t="s">
        <v>3498</v>
      </c>
      <c r="B540" t="str">
        <f>_xlfn.REGEXREPLACE([3]query3!B540, "https://doi.org/", "")</f>
        <v>10.2139/ssrn.4809777</v>
      </c>
      <c r="C540">
        <v>0</v>
      </c>
      <c r="D540" s="4" t="s">
        <v>3499</v>
      </c>
      <c r="E540" s="4" t="str">
        <f>'[3]rio results'!M540</f>
        <v>10.1080/14702541.2024.2374375</v>
      </c>
      <c r="F540" s="4">
        <v>2</v>
      </c>
    </row>
    <row r="541" spans="1:6" x14ac:dyDescent="0.45">
      <c r="A541" t="s">
        <v>3500</v>
      </c>
      <c r="B541" t="str">
        <f>_xlfn.REGEXREPLACE([3]query3!B541, "https://doi.org/", "")</f>
        <v>10.1007/978-3-030-22767-8_182</v>
      </c>
      <c r="C541">
        <v>0</v>
      </c>
      <c r="D541" s="4" t="s">
        <v>3340</v>
      </c>
      <c r="E541" s="4" t="str">
        <f>'[3]rio results'!M541</f>
        <v>10.1080/10246029.2024.2341864</v>
      </c>
      <c r="F541" s="4">
        <v>2</v>
      </c>
    </row>
    <row r="542" spans="1:6" x14ac:dyDescent="0.45">
      <c r="A542" t="s">
        <v>3501</v>
      </c>
      <c r="B542" t="str">
        <f>_xlfn.REGEXREPLACE([3]query3!B542, "https://doi.org/", "")</f>
        <v>10.1007/s11212-024-09647-0</v>
      </c>
      <c r="C542">
        <v>0</v>
      </c>
      <c r="D542" s="4" t="s">
        <v>3502</v>
      </c>
      <c r="E542" s="4" t="str">
        <f>'[3]rio results'!M542</f>
        <v>10.1080/00344893.2024.2345083</v>
      </c>
      <c r="F542" s="4">
        <v>2</v>
      </c>
    </row>
    <row r="543" spans="1:6" x14ac:dyDescent="0.45">
      <c r="A543" t="s">
        <v>3503</v>
      </c>
      <c r="B543" t="str">
        <f>_xlfn.REGEXREPLACE([3]query3!B543, "https://doi.org/", "")</f>
        <v/>
      </c>
      <c r="C543">
        <v>0</v>
      </c>
      <c r="D543" s="4" t="s">
        <v>3258</v>
      </c>
      <c r="E543" s="4" t="str">
        <f>'[3]rio results'!M543</f>
        <v>10.3389/fmars.2024.1336030</v>
      </c>
      <c r="F543" s="4">
        <v>2</v>
      </c>
    </row>
    <row r="544" spans="1:6" x14ac:dyDescent="0.45">
      <c r="A544" t="s">
        <v>3504</v>
      </c>
      <c r="B544" t="str">
        <f>_xlfn.REGEXREPLACE([3]query3!B544, "https://doi.org/", "")</f>
        <v>10.2196/preprints.49416</v>
      </c>
      <c r="C544">
        <v>0</v>
      </c>
      <c r="D544" s="4" t="s">
        <v>3505</v>
      </c>
      <c r="E544" s="4" t="str">
        <f>'[3]rio results'!M544</f>
        <v>10.1590/1413-81232024293.06732023EN</v>
      </c>
      <c r="F544" s="4">
        <v>2</v>
      </c>
    </row>
    <row r="545" spans="1:6" x14ac:dyDescent="0.45">
      <c r="A545" t="s">
        <v>3506</v>
      </c>
      <c r="B545" t="str">
        <f>_xlfn.REGEXREPLACE([3]query3!B545, "https://doi.org/", "")</f>
        <v>10.64628/aam.f7g75n5pq</v>
      </c>
      <c r="C545">
        <v>0</v>
      </c>
      <c r="D545" s="4" t="s">
        <v>3441</v>
      </c>
      <c r="E545" s="4" t="str">
        <f>'[3]rio results'!M545</f>
        <v>10.1139/facets-2023-0033</v>
      </c>
      <c r="F545" s="4">
        <v>2</v>
      </c>
    </row>
    <row r="546" spans="1:6" x14ac:dyDescent="0.45">
      <c r="A546" t="s">
        <v>3507</v>
      </c>
      <c r="B546" t="str">
        <f>_xlfn.REGEXREPLACE([3]query3!B546, "https://doi.org/", "")</f>
        <v>10.1093/geroni/igaa057.2491</v>
      </c>
      <c r="C546">
        <v>0</v>
      </c>
      <c r="D546" s="4" t="s">
        <v>3296</v>
      </c>
      <c r="E546" s="4" t="str">
        <f>'[3]rio results'!M546</f>
        <v>10.1080/10999922.2023.2240623</v>
      </c>
      <c r="F546" s="4">
        <v>2</v>
      </c>
    </row>
    <row r="547" spans="1:6" x14ac:dyDescent="0.45">
      <c r="A547" t="s">
        <v>3508</v>
      </c>
      <c r="B547" t="str">
        <f>_xlfn.REGEXREPLACE([3]query3!B547, "https://doi.org/", "")</f>
        <v>10.64628/aam.q4qcsenve</v>
      </c>
      <c r="C547">
        <v>0</v>
      </c>
      <c r="D547" s="4" t="s">
        <v>3509</v>
      </c>
      <c r="E547" s="4" t="str">
        <f>'[3]rio results'!M547</f>
        <v>10.1215/1089201X-10892817</v>
      </c>
      <c r="F547" s="4">
        <v>2</v>
      </c>
    </row>
    <row r="548" spans="1:6" x14ac:dyDescent="0.45">
      <c r="A548" t="s">
        <v>3510</v>
      </c>
      <c r="B548" t="str">
        <f>_xlfn.REGEXREPLACE([3]query3!B548, "https://doi.org/", "")</f>
        <v>10.1093/geroni/igac059.883</v>
      </c>
      <c r="C548">
        <v>0</v>
      </c>
      <c r="D548" s="4" t="s">
        <v>3393</v>
      </c>
      <c r="E548" s="4" t="str">
        <f>'[3]rio results'!M548</f>
        <v>10.3390/journalmedia4040072</v>
      </c>
      <c r="F548" s="4">
        <v>2</v>
      </c>
    </row>
    <row r="549" spans="1:6" x14ac:dyDescent="0.45">
      <c r="A549" t="s">
        <v>3511</v>
      </c>
      <c r="B549" t="str">
        <f>_xlfn.REGEXREPLACE([3]query3!B549, "https://doi.org/", "")</f>
        <v>10.3138/uhr-2022-0033</v>
      </c>
      <c r="C549">
        <v>0</v>
      </c>
      <c r="D549" s="4" t="s">
        <v>3512</v>
      </c>
      <c r="E549" s="4" t="str">
        <f>'[3]rio results'!M549</f>
        <v>10.1016/j.marpol.2023.105867</v>
      </c>
      <c r="F549" s="4">
        <v>2</v>
      </c>
    </row>
    <row r="550" spans="1:6" x14ac:dyDescent="0.45">
      <c r="A550" t="s">
        <v>3513</v>
      </c>
      <c r="B550" t="str">
        <f>_xlfn.REGEXREPLACE([3]query3!B550, "https://doi.org/", "")</f>
        <v>10.2196/preprints.32452</v>
      </c>
      <c r="C550">
        <v>0</v>
      </c>
      <c r="D550" s="4" t="s">
        <v>3179</v>
      </c>
      <c r="E550" s="4" t="str">
        <f>'[3]rio results'!M550</f>
        <v>10.1108/TG-12-2022-0166</v>
      </c>
      <c r="F550" s="4">
        <v>2</v>
      </c>
    </row>
    <row r="551" spans="1:6" x14ac:dyDescent="0.45">
      <c r="A551" t="s">
        <v>3514</v>
      </c>
      <c r="B551" t="str">
        <f>_xlfn.REGEXREPLACE([3]query3!B551, "https://doi.org/", "")</f>
        <v>10.1093/geroni/igae098.0949</v>
      </c>
      <c r="C551">
        <v>0</v>
      </c>
      <c r="D551" s="4" t="s">
        <v>3515</v>
      </c>
      <c r="E551" s="4" t="str">
        <f>'[3]rio results'!M551</f>
        <v>10.4337/9781800880887.00021</v>
      </c>
      <c r="F551" s="4">
        <v>2</v>
      </c>
    </row>
    <row r="552" spans="1:6" x14ac:dyDescent="0.45">
      <c r="A552" t="s">
        <v>3516</v>
      </c>
      <c r="B552" t="str">
        <f>_xlfn.REGEXREPLACE([3]query3!B552, "https://doi.org/", "")</f>
        <v>10.1093/geroni/igaa057.2488</v>
      </c>
      <c r="C552">
        <v>0</v>
      </c>
      <c r="D552" s="4" t="s">
        <v>3517</v>
      </c>
      <c r="E552" s="4" t="str">
        <f>'[3]rio results'!M552</f>
        <v>10.1371/journal.pone.0288539</v>
      </c>
      <c r="F552" s="4">
        <v>2</v>
      </c>
    </row>
    <row r="553" spans="1:6" x14ac:dyDescent="0.45">
      <c r="A553" t="s">
        <v>3518</v>
      </c>
      <c r="B553" t="str">
        <f>_xlfn.REGEXREPLACE([3]query3!B553, "https://doi.org/", "")</f>
        <v>10.1093/geroni/igaa057.2490</v>
      </c>
      <c r="C553">
        <v>0</v>
      </c>
      <c r="D553" s="4" t="s">
        <v>3519</v>
      </c>
      <c r="E553" s="4" t="str">
        <f>'[3]rio results'!M553</f>
        <v>10.2478/njms-2023-0003</v>
      </c>
      <c r="F553" s="4">
        <v>2</v>
      </c>
    </row>
    <row r="554" spans="1:6" x14ac:dyDescent="0.45">
      <c r="A554" t="s">
        <v>3176</v>
      </c>
      <c r="B554" t="str">
        <f>_xlfn.REGEXREPLACE([3]query3!B554, "https://doi.org/", "")</f>
        <v>10.2139/ssrn.4298634</v>
      </c>
      <c r="C554">
        <v>0</v>
      </c>
      <c r="D554" s="4" t="s">
        <v>3520</v>
      </c>
      <c r="E554" s="4" t="str">
        <f>'[3]rio results'!M554</f>
        <v>10.4324/9780429261404</v>
      </c>
      <c r="F554" s="4">
        <v>2</v>
      </c>
    </row>
    <row r="555" spans="1:6" x14ac:dyDescent="0.45">
      <c r="A555" t="s">
        <v>3521</v>
      </c>
      <c r="B555" t="str">
        <f>_xlfn.REGEXREPLACE([3]query3!B555, "https://doi.org/", "")</f>
        <v>10.1017/9781009264747.014</v>
      </c>
      <c r="C555">
        <v>0</v>
      </c>
      <c r="D555" s="4" t="s">
        <v>3522</v>
      </c>
      <c r="E555" s="4" t="str">
        <f>'[3]rio results'!M555</f>
        <v>10.1111/abac.12279</v>
      </c>
      <c r="F555" s="4">
        <v>2</v>
      </c>
    </row>
    <row r="556" spans="1:6" x14ac:dyDescent="0.45">
      <c r="A556" t="s">
        <v>3523</v>
      </c>
      <c r="B556" t="str">
        <f>_xlfn.REGEXREPLACE([3]query3!B556, "https://doi.org/", "")</f>
        <v>10.1093/geroni/igae098.1108</v>
      </c>
      <c r="C556">
        <v>0</v>
      </c>
      <c r="D556" s="4" t="s">
        <v>3524</v>
      </c>
      <c r="E556" s="4" t="str">
        <f>'[3]rio results'!M556</f>
        <v>10.1136/bmjopen-2022-067736</v>
      </c>
      <c r="F556" s="4">
        <v>2</v>
      </c>
    </row>
    <row r="557" spans="1:6" x14ac:dyDescent="0.45">
      <c r="A557" t="s">
        <v>3525</v>
      </c>
      <c r="B557" t="str">
        <f>_xlfn.REGEXREPLACE([3]query3!B557, "https://doi.org/", "")</f>
        <v>10.21428/cb6ab371.c53e0ad7</v>
      </c>
      <c r="C557">
        <v>0</v>
      </c>
      <c r="D557" s="4" t="s">
        <v>3235</v>
      </c>
      <c r="E557" s="4" t="str">
        <f>'[3]rio results'!M557</f>
        <v>10.1136/bmjno-2022-000349</v>
      </c>
      <c r="F557" s="4">
        <v>2</v>
      </c>
    </row>
    <row r="558" spans="1:6" x14ac:dyDescent="0.45">
      <c r="A558" t="s">
        <v>3526</v>
      </c>
      <c r="B558" t="str">
        <f>_xlfn.REGEXREPLACE([3]query3!B558, "https://doi.org/", "")</f>
        <v>10.1007/s00406-023-01664-0</v>
      </c>
      <c r="C558">
        <v>0</v>
      </c>
      <c r="D558" s="4" t="s">
        <v>3527</v>
      </c>
      <c r="E558" s="4">
        <f>'[3]rio results'!M558</f>
        <v>0</v>
      </c>
      <c r="F558" s="4">
        <v>2</v>
      </c>
    </row>
    <row r="559" spans="1:6" x14ac:dyDescent="0.45">
      <c r="A559" t="s">
        <v>3528</v>
      </c>
      <c r="B559" t="str">
        <f>_xlfn.REGEXREPLACE([3]query3!B559, "https://doi.org/", "")</f>
        <v>10.1007/978-3-031-68020-5_13</v>
      </c>
      <c r="C559">
        <v>0</v>
      </c>
      <c r="D559" s="4" t="s">
        <v>3192</v>
      </c>
      <c r="E559" s="4" t="str">
        <f>'[3]rio results'!M559</f>
        <v>10.3389/fcomm.2023.1260540</v>
      </c>
      <c r="F559" s="4">
        <v>2</v>
      </c>
    </row>
    <row r="560" spans="1:6" x14ac:dyDescent="0.45">
      <c r="A560" t="s">
        <v>3529</v>
      </c>
      <c r="B560" t="str">
        <f>_xlfn.REGEXREPLACE([3]query3!B560, "https://doi.org/", "")</f>
        <v>10.1007/978-3-031-25871-8_4</v>
      </c>
      <c r="C560">
        <v>0</v>
      </c>
      <c r="D560" s="4" t="s">
        <v>3044</v>
      </c>
      <c r="E560" s="4" t="str">
        <f>'[3]rio results'!M560</f>
        <v>10.12688/wellcomeopenres.17244.2</v>
      </c>
      <c r="F560" s="4">
        <v>2</v>
      </c>
    </row>
    <row r="561" spans="1:6" x14ac:dyDescent="0.45">
      <c r="A561" t="s">
        <v>3530</v>
      </c>
      <c r="B561" t="str">
        <f>_xlfn.REGEXREPLACE([3]query3!B561, "https://doi.org/", "")</f>
        <v>10.32920/ryerson.14648874</v>
      </c>
      <c r="C561">
        <v>0</v>
      </c>
      <c r="D561" s="4" t="s">
        <v>2609</v>
      </c>
      <c r="E561" s="4" t="str">
        <f>'[3]rio results'!M561</f>
        <v>10.34172/ijhpm.2023.6936</v>
      </c>
      <c r="F561" s="4">
        <v>2</v>
      </c>
    </row>
    <row r="562" spans="1:6" x14ac:dyDescent="0.45">
      <c r="A562" t="s">
        <v>3530</v>
      </c>
      <c r="B562" t="str">
        <f>_xlfn.REGEXREPLACE([3]query3!B562, "https://doi.org/", "")</f>
        <v>10.32920/ryerson.14648874.v1</v>
      </c>
      <c r="C562">
        <v>0</v>
      </c>
      <c r="D562" s="4" t="s">
        <v>3289</v>
      </c>
      <c r="E562" s="4" t="str">
        <f>'[3]rio results'!M562</f>
        <v>10.1080/13854046.2023.2178513</v>
      </c>
      <c r="F562" s="4">
        <v>2</v>
      </c>
    </row>
    <row r="563" spans="1:6" x14ac:dyDescent="0.45">
      <c r="A563" t="s">
        <v>3531</v>
      </c>
      <c r="B563" t="str">
        <f>_xlfn.REGEXREPLACE([3]query3!B563, "https://doi.org/", "")</f>
        <v>10.1080/1369118x.2021.1961008</v>
      </c>
      <c r="C563">
        <v>0</v>
      </c>
      <c r="D563" s="4" t="s">
        <v>3451</v>
      </c>
      <c r="E563" s="4" t="str">
        <f>'[3]rio results'!M563</f>
        <v>10.12927/hcpap.2023.26994</v>
      </c>
      <c r="F563" s="4">
        <v>2</v>
      </c>
    </row>
    <row r="564" spans="1:6" x14ac:dyDescent="0.45">
      <c r="A564" t="s">
        <v>3532</v>
      </c>
      <c r="B564" t="str">
        <f>_xlfn.REGEXREPLACE([3]query3!B564, "https://doi.org/", "")</f>
        <v>10.64628/aam.se3hvamd9</v>
      </c>
      <c r="C564">
        <v>0</v>
      </c>
      <c r="D564" s="4" t="s">
        <v>3533</v>
      </c>
      <c r="E564" s="4" t="str">
        <f>'[3]rio results'!M564</f>
        <v>10.1177/16094069221149871</v>
      </c>
      <c r="F564" s="4">
        <v>2</v>
      </c>
    </row>
    <row r="565" spans="1:6" x14ac:dyDescent="0.45">
      <c r="A565" t="s">
        <v>3534</v>
      </c>
      <c r="B565" t="str">
        <f>_xlfn.REGEXREPLACE([3]query3!B565, "https://doi.org/", "")</f>
        <v>10.1007/978-3-030-14622-1_85</v>
      </c>
      <c r="C565">
        <v>0</v>
      </c>
      <c r="D565" s="4" t="s">
        <v>3321</v>
      </c>
      <c r="E565" s="4" t="str">
        <f>'[3]rio results'!M565</f>
        <v>10.1080/10550887.2022.2088014</v>
      </c>
      <c r="F565" s="4">
        <v>2</v>
      </c>
    </row>
    <row r="566" spans="1:6" x14ac:dyDescent="0.45">
      <c r="A566" t="s">
        <v>3534</v>
      </c>
      <c r="B566" t="str">
        <f>_xlfn.REGEXREPLACE([3]query3!B566, "https://doi.org/", "")</f>
        <v>10.1007/978-3-319-68845-9_85-1</v>
      </c>
      <c r="C566">
        <v>0</v>
      </c>
      <c r="D566" s="4" t="s">
        <v>3535</v>
      </c>
      <c r="E566" s="4" t="str">
        <f>'[3]rio results'!M566</f>
        <v>10.1080/09540121.2022.2085868</v>
      </c>
      <c r="F566" s="4">
        <v>2</v>
      </c>
    </row>
    <row r="567" spans="1:6" x14ac:dyDescent="0.45">
      <c r="A567" t="s">
        <v>3536</v>
      </c>
      <c r="B567" t="str">
        <f>_xlfn.REGEXREPLACE([3]query3!B567, "https://doi.org/", "")</f>
        <v>10.64628/aam.647ydyy7u</v>
      </c>
      <c r="C567">
        <v>0</v>
      </c>
      <c r="D567" s="4" t="s">
        <v>3537</v>
      </c>
      <c r="E567" s="4" t="str">
        <f>'[3]rio results'!M567</f>
        <v>10.25318/82-003-x202201200001-eng</v>
      </c>
      <c r="F567" s="4">
        <v>2</v>
      </c>
    </row>
    <row r="568" spans="1:6" x14ac:dyDescent="0.45">
      <c r="A568" t="s">
        <v>3538</v>
      </c>
      <c r="B568" t="str">
        <f>_xlfn.REGEXREPLACE([3]query3!B568, "https://doi.org/", "")</f>
        <v>10.1093/geroni/igae098.1109</v>
      </c>
      <c r="C568">
        <v>0</v>
      </c>
      <c r="D568" s="4" t="s">
        <v>3123</v>
      </c>
      <c r="E568" s="4" t="str">
        <f>'[3]rio results'!M568</f>
        <v>10.3390/nu14224882</v>
      </c>
      <c r="F568" s="4">
        <v>2</v>
      </c>
    </row>
    <row r="569" spans="1:6" x14ac:dyDescent="0.45">
      <c r="A569" t="s">
        <v>3539</v>
      </c>
      <c r="B569" t="str">
        <f>_xlfn.REGEXREPLACE([3]query3!B569, "https://doi.org/", "")</f>
        <v>10.1504/ijima.2021.10037440</v>
      </c>
      <c r="C569">
        <v>0</v>
      </c>
      <c r="D569" s="4" t="s">
        <v>3540</v>
      </c>
      <c r="E569" s="4" t="str">
        <f>'[3]rio results'!M569</f>
        <v>10.3389/fpubh.2022.902374</v>
      </c>
      <c r="F569" s="4">
        <v>2</v>
      </c>
    </row>
    <row r="570" spans="1:6" x14ac:dyDescent="0.45">
      <c r="A570" t="s">
        <v>3541</v>
      </c>
      <c r="B570" t="str">
        <f>_xlfn.REGEXREPLACE([3]query3!B570, "https://doi.org/", "")</f>
        <v>10.64628/aam.cjy6h6nww</v>
      </c>
      <c r="C570">
        <v>0</v>
      </c>
      <c r="D570" s="4" t="s">
        <v>3542</v>
      </c>
      <c r="E570" s="4" t="str">
        <f>'[3]rio results'!M570</f>
        <v>10.1177/13558196221094248</v>
      </c>
      <c r="F570" s="4">
        <v>2</v>
      </c>
    </row>
    <row r="571" spans="1:6" x14ac:dyDescent="0.45">
      <c r="A571" t="s">
        <v>3543</v>
      </c>
      <c r="B571" t="str">
        <f>_xlfn.REGEXREPLACE([3]query3!B571, "https://doi.org/", "")</f>
        <v>10.1017/s1355617723006811</v>
      </c>
      <c r="C571">
        <v>0</v>
      </c>
      <c r="D571" s="4" t="s">
        <v>3544</v>
      </c>
      <c r="E571" s="4">
        <f>'[3]rio results'!M571</f>
        <v>0</v>
      </c>
      <c r="F571" s="4">
        <v>2</v>
      </c>
    </row>
    <row r="572" spans="1:6" x14ac:dyDescent="0.45">
      <c r="A572" t="s">
        <v>3545</v>
      </c>
      <c r="B572" t="str">
        <f>_xlfn.REGEXREPLACE([3]query3!B572, "https://doi.org/", "")</f>
        <v>10.7870/cjcmh-2020-028</v>
      </c>
      <c r="C572">
        <v>0</v>
      </c>
      <c r="D572" s="4" t="s">
        <v>3546</v>
      </c>
      <c r="E572" s="4" t="str">
        <f>'[3]rio results'!M572</f>
        <v>10.1007/978-3-030-96386-6_7</v>
      </c>
      <c r="F572" s="4">
        <v>2</v>
      </c>
    </row>
    <row r="573" spans="1:6" x14ac:dyDescent="0.45">
      <c r="A573" t="s">
        <v>3547</v>
      </c>
      <c r="B573" t="str">
        <f>_xlfn.REGEXREPLACE([3]query3!B573, "https://doi.org/", "")</f>
        <v>10.32316/hse-rhe.2023.5233</v>
      </c>
      <c r="C573">
        <v>0</v>
      </c>
      <c r="D573" s="4" t="s">
        <v>3548</v>
      </c>
      <c r="E573" s="4" t="str">
        <f>'[3]rio results'!M573</f>
        <v>10.2217/fvl-2021-0266</v>
      </c>
      <c r="F573" s="4">
        <v>2</v>
      </c>
    </row>
    <row r="574" spans="1:6" x14ac:dyDescent="0.45">
      <c r="A574" t="s">
        <v>3549</v>
      </c>
      <c r="B574" t="str">
        <f>_xlfn.REGEXREPLACE([3]query3!B574, "https://doi.org/", "")</f>
        <v>10.7910/dvn/p9e3wz</v>
      </c>
      <c r="C574">
        <v>0</v>
      </c>
      <c r="D574" s="4" t="s">
        <v>3550</v>
      </c>
      <c r="E574" s="4" t="str">
        <f>'[3]rio results'!M574</f>
        <v>10.1016/B978-0-12-824046-5.00008-4</v>
      </c>
      <c r="F574" s="4">
        <v>2</v>
      </c>
    </row>
    <row r="575" spans="1:6" x14ac:dyDescent="0.45">
      <c r="A575" t="s">
        <v>3551</v>
      </c>
      <c r="B575" t="str">
        <f>_xlfn.REGEXREPLACE([3]query3!B575, "https://doi.org/", "")</f>
        <v>10.1007/978-3-031-05020-6_1</v>
      </c>
      <c r="C575">
        <v>0</v>
      </c>
      <c r="D575" s="4" t="s">
        <v>3137</v>
      </c>
      <c r="E575" s="4" t="str">
        <f>'[3]rio results'!M575</f>
        <v>10.1080/03003930.2022.2045277</v>
      </c>
      <c r="F575" s="4">
        <v>2</v>
      </c>
    </row>
    <row r="576" spans="1:6" x14ac:dyDescent="0.45">
      <c r="A576" t="s">
        <v>3552</v>
      </c>
      <c r="B576" t="str">
        <f>_xlfn.REGEXREPLACE([3]query3!B576, "https://doi.org/", "")</f>
        <v>10.1212/wnl.96.15_supplement.2847</v>
      </c>
      <c r="C576">
        <v>0</v>
      </c>
      <c r="D576" s="4" t="s">
        <v>3254</v>
      </c>
      <c r="E576" s="4" t="str">
        <f>'[3]rio results'!M576</f>
        <v>10.3389/fpubh.2021.605695</v>
      </c>
      <c r="F576" s="4">
        <v>2</v>
      </c>
    </row>
    <row r="577" spans="1:6" x14ac:dyDescent="0.45">
      <c r="A577" t="s">
        <v>3553</v>
      </c>
      <c r="B577" t="str">
        <f>_xlfn.REGEXREPLACE([3]query3!B577, "https://doi.org/", "")</f>
        <v>10.21203/rs.3.rs-3962859/v1</v>
      </c>
      <c r="C577">
        <v>0</v>
      </c>
      <c r="D577" s="4" t="s">
        <v>3554</v>
      </c>
      <c r="E577" s="4" t="str">
        <f>'[3]rio results'!M577</f>
        <v>10.30909/VOL.04.02.309324</v>
      </c>
      <c r="F577" s="4">
        <v>2</v>
      </c>
    </row>
    <row r="578" spans="1:6" x14ac:dyDescent="0.45">
      <c r="A578" t="s">
        <v>3555</v>
      </c>
      <c r="B578" t="str">
        <f>_xlfn.REGEXREPLACE([3]query3!B578, "https://doi.org/", "")</f>
        <v>10.1101/2021.11.03.21265661</v>
      </c>
      <c r="C578">
        <v>0</v>
      </c>
      <c r="D578" s="4" t="s">
        <v>3259</v>
      </c>
      <c r="E578" s="4" t="str">
        <f>'[3]rio results'!M578</f>
        <v>10.3389/fpsyg.2021.571423</v>
      </c>
      <c r="F578" s="4">
        <v>2</v>
      </c>
    </row>
    <row r="579" spans="1:6" x14ac:dyDescent="0.45">
      <c r="A579" t="s">
        <v>3556</v>
      </c>
      <c r="B579" t="str">
        <f>_xlfn.REGEXREPLACE([3]query3!B579, "https://doi.org/", "")</f>
        <v>10.2196/preprints.44357</v>
      </c>
      <c r="C579">
        <v>0</v>
      </c>
      <c r="D579" s="4" t="s">
        <v>3557</v>
      </c>
      <c r="E579" s="4" t="str">
        <f>'[3]rio results'!M579</f>
        <v>10.2196/29723</v>
      </c>
      <c r="F579" s="4">
        <v>2</v>
      </c>
    </row>
    <row r="580" spans="1:6" x14ac:dyDescent="0.45">
      <c r="A580" t="s">
        <v>3558</v>
      </c>
      <c r="B580" t="str">
        <f>_xlfn.REGEXREPLACE([3]query3!B580, "https://doi.org/", "")</f>
        <v>10.1016/j.biopsych.2022.02.221</v>
      </c>
      <c r="C580">
        <v>0</v>
      </c>
      <c r="D580" s="4" t="s">
        <v>3559</v>
      </c>
      <c r="E580" s="4" t="str">
        <f>'[3]rio results'!M580</f>
        <v>10.1007/978-3-030-64171-9_1</v>
      </c>
      <c r="F580" s="4">
        <v>2</v>
      </c>
    </row>
    <row r="581" spans="1:6" x14ac:dyDescent="0.45">
      <c r="A581" t="s">
        <v>3560</v>
      </c>
      <c r="B581" t="str">
        <f>_xlfn.REGEXREPLACE([3]query3!B581, "https://doi.org/", "")</f>
        <v>10.1007/978-3-030-81973-6</v>
      </c>
      <c r="C581">
        <v>0</v>
      </c>
      <c r="D581" s="4" t="s">
        <v>3561</v>
      </c>
      <c r="E581" s="4" t="str">
        <f>'[3]rio results'!M581</f>
        <v>10.4324/9780429340840-2</v>
      </c>
      <c r="F581" s="4">
        <v>2</v>
      </c>
    </row>
    <row r="582" spans="1:6" x14ac:dyDescent="0.45">
      <c r="A582" t="s">
        <v>3562</v>
      </c>
      <c r="B582" t="str">
        <f>_xlfn.REGEXREPLACE([3]query3!B582, "https://doi.org/", "")</f>
        <v>10.64628/aam.kqjmg7qs7</v>
      </c>
      <c r="C582">
        <v>0</v>
      </c>
      <c r="D582" s="4" t="s">
        <v>3563</v>
      </c>
      <c r="E582" s="4" t="str">
        <f>'[3]rio results'!M582</f>
        <v>10.1017/9781108750127.015</v>
      </c>
      <c r="F582" s="4">
        <v>2</v>
      </c>
    </row>
    <row r="583" spans="1:6" x14ac:dyDescent="0.45">
      <c r="A583" t="s">
        <v>3564</v>
      </c>
      <c r="B583" t="str">
        <f>_xlfn.REGEXREPLACE([3]query3!B583, "https://doi.org/", "")</f>
        <v>10.64628/aam.n4svsndgm</v>
      </c>
      <c r="C583">
        <v>0</v>
      </c>
      <c r="D583" s="4" t="s">
        <v>3565</v>
      </c>
      <c r="E583" s="4" t="str">
        <f>'[3]rio results'!M583</f>
        <v>10.4337/9781789902266.00008</v>
      </c>
      <c r="F583" s="4">
        <v>2</v>
      </c>
    </row>
    <row r="584" spans="1:6" x14ac:dyDescent="0.45">
      <c r="A584" t="s">
        <v>3566</v>
      </c>
      <c r="B584" t="str">
        <f>_xlfn.REGEXREPLACE([3]query3!B584, "https://doi.org/", "")</f>
        <v>10.64628/aam.9mne6ffn5</v>
      </c>
      <c r="C584">
        <v>0</v>
      </c>
      <c r="D584" s="4" t="s">
        <v>3567</v>
      </c>
      <c r="E584" s="4" t="str">
        <f>'[3]rio results'!M584</f>
        <v>10.7203/QF.0.22047</v>
      </c>
      <c r="F584" s="4">
        <v>2</v>
      </c>
    </row>
    <row r="585" spans="1:6" x14ac:dyDescent="0.45">
      <c r="A585" t="s">
        <v>3568</v>
      </c>
      <c r="B585" t="str">
        <f>_xlfn.REGEXREPLACE([3]query3!B585, "https://doi.org/", "")</f>
        <v>10.1007/978-3-031-69918-4_9</v>
      </c>
      <c r="C585">
        <v>0</v>
      </c>
      <c r="D585" s="4" t="s">
        <v>3569</v>
      </c>
      <c r="E585" s="4" t="str">
        <f>'[3]rio results'!M585</f>
        <v>10.1080/13604813.2021.1988346</v>
      </c>
      <c r="F585" s="4">
        <v>2</v>
      </c>
    </row>
    <row r="586" spans="1:6" x14ac:dyDescent="0.45">
      <c r="A586" t="s">
        <v>3570</v>
      </c>
      <c r="B586" t="str">
        <f>_xlfn.REGEXREPLACE([3]query3!B586, "https://doi.org/", "")</f>
        <v>10.1177/1742766520944857</v>
      </c>
      <c r="C586">
        <v>0</v>
      </c>
      <c r="D586" s="4" t="s">
        <v>3571</v>
      </c>
      <c r="E586" s="4">
        <f>'[3]rio results'!M586</f>
        <v>0</v>
      </c>
      <c r="F586" s="4">
        <v>2</v>
      </c>
    </row>
    <row r="587" spans="1:6" x14ac:dyDescent="0.45">
      <c r="A587" t="s">
        <v>3572</v>
      </c>
      <c r="B587" t="str">
        <f>_xlfn.REGEXREPLACE([3]query3!B587, "https://doi.org/", "")</f>
        <v>10.1017/s2332889400002128</v>
      </c>
      <c r="C587">
        <v>0</v>
      </c>
      <c r="D587" s="4" t="s">
        <v>2615</v>
      </c>
      <c r="E587" s="4" t="str">
        <f>'[3]rio results'!M587</f>
        <v>10.1111/glob.12235</v>
      </c>
      <c r="F587" s="4">
        <v>2</v>
      </c>
    </row>
    <row r="588" spans="1:6" x14ac:dyDescent="0.45">
      <c r="A588" t="s">
        <v>3573</v>
      </c>
      <c r="B588" t="str">
        <f>_xlfn.REGEXREPLACE([3]query3!B588, "https://doi.org/", "")</f>
        <v>10.1111/plar.12492</v>
      </c>
      <c r="C588">
        <v>0</v>
      </c>
      <c r="D588" s="4" t="s">
        <v>3574</v>
      </c>
      <c r="E588" s="4" t="str">
        <f>'[3]rio results'!M588</f>
        <v>10.3390/su12114670</v>
      </c>
      <c r="F588" s="4">
        <v>2</v>
      </c>
    </row>
    <row r="589" spans="1:6" x14ac:dyDescent="0.45">
      <c r="A589" t="s">
        <v>3575</v>
      </c>
      <c r="B589" t="str">
        <f>_xlfn.REGEXREPLACE([3]query3!B589, "https://doi.org/", "")</f>
        <v>10.36315/2023v2end039</v>
      </c>
      <c r="C589">
        <v>0</v>
      </c>
      <c r="D589" s="4" t="s">
        <v>3576</v>
      </c>
      <c r="E589" s="4" t="str">
        <f>'[3]rio results'!M589</f>
        <v>10.4324/9781315270845-31</v>
      </c>
      <c r="F589" s="4">
        <v>2</v>
      </c>
    </row>
    <row r="590" spans="1:6" x14ac:dyDescent="0.45">
      <c r="A590" t="s">
        <v>3577</v>
      </c>
      <c r="B590" t="str">
        <f>_xlfn.REGEXREPLACE([3]query3!B590, "https://doi.org/", "")</f>
        <v>10.1142/9789811249723_0016</v>
      </c>
      <c r="C590">
        <v>0</v>
      </c>
      <c r="D590" s="4" t="s">
        <v>3578</v>
      </c>
      <c r="E590" s="4" t="str">
        <f>'[3]rio results'!M590</f>
        <v>10.1080/14680777.2020.1785910</v>
      </c>
      <c r="F590" s="4">
        <v>2</v>
      </c>
    </row>
    <row r="591" spans="1:6" x14ac:dyDescent="0.45">
      <c r="A591" t="s">
        <v>3579</v>
      </c>
      <c r="B591" t="str">
        <f>_xlfn.REGEXREPLACE([3]query3!B591, "https://doi.org/", "")</f>
        <v>10.1007/978-3-031-68020-5_6</v>
      </c>
      <c r="C591">
        <v>0</v>
      </c>
      <c r="D591" s="4" t="s">
        <v>3462</v>
      </c>
      <c r="E591" s="4" t="str">
        <f>'[3]rio results'!M591</f>
        <v>10.1111/capa.12588</v>
      </c>
      <c r="F591" s="4">
        <v>1</v>
      </c>
    </row>
    <row r="592" spans="1:6" x14ac:dyDescent="0.45">
      <c r="A592" t="s">
        <v>3580</v>
      </c>
      <c r="B592" t="str">
        <f>_xlfn.REGEXREPLACE([3]query3!B592, "https://doi.org/", "")</f>
        <v>10.1007/978-3-031-33317-0_2</v>
      </c>
      <c r="C592">
        <v>0</v>
      </c>
      <c r="D592" s="4" t="s">
        <v>3388</v>
      </c>
      <c r="E592" s="4" t="str">
        <f>'[3]rio results'!M592</f>
        <v>10.1186/s12939-024-02352-8</v>
      </c>
      <c r="F592" s="4">
        <v>1</v>
      </c>
    </row>
    <row r="593" spans="1:6" x14ac:dyDescent="0.45">
      <c r="A593" t="s">
        <v>3581</v>
      </c>
      <c r="B593" t="str">
        <f>_xlfn.REGEXREPLACE([3]query3!B593, "https://doi.org/", "")</f>
        <v>10.1108/979-8-88730-858-620251003</v>
      </c>
      <c r="C593">
        <v>0</v>
      </c>
      <c r="D593" s="4" t="s">
        <v>3582</v>
      </c>
      <c r="E593" s="4" t="str">
        <f>'[3]rio results'!M593</f>
        <v>10.1371/journal.pone.0314749</v>
      </c>
      <c r="F593" s="4">
        <v>1</v>
      </c>
    </row>
    <row r="594" spans="1:6" x14ac:dyDescent="0.45">
      <c r="A594" t="s">
        <v>3583</v>
      </c>
      <c r="B594" t="str">
        <f>_xlfn.REGEXREPLACE([3]query3!B594, "https://doi.org/", "")</f>
        <v>10.1093/geroni/igac059.2304</v>
      </c>
      <c r="C594">
        <v>0</v>
      </c>
      <c r="D594" s="4" t="s">
        <v>3390</v>
      </c>
      <c r="E594" s="4" t="str">
        <f>'[3]rio results'!M594</f>
        <v>10.1142/9789811296642_0011</v>
      </c>
      <c r="F594" s="4">
        <v>1</v>
      </c>
    </row>
    <row r="595" spans="1:6" x14ac:dyDescent="0.45">
      <c r="A595" t="s">
        <v>3584</v>
      </c>
      <c r="B595" t="str">
        <f>_xlfn.REGEXREPLACE([3]query3!B595, "https://doi.org/", "")</f>
        <v>10.1007/978-3-030-34390-3_6</v>
      </c>
      <c r="C595">
        <v>0</v>
      </c>
      <c r="D595" s="4" t="s">
        <v>3585</v>
      </c>
      <c r="E595" s="4" t="str">
        <f>'[3]rio results'!M595</f>
        <v>10.1016/j.wss.2024.100223</v>
      </c>
      <c r="F595" s="4">
        <v>1</v>
      </c>
    </row>
    <row r="596" spans="1:6" x14ac:dyDescent="0.45">
      <c r="A596" t="s">
        <v>3586</v>
      </c>
      <c r="B596" t="str">
        <f>_xlfn.REGEXREPLACE([3]query3!B596, "https://doi.org/", "")</f>
        <v>10.7910/dvn/macuis</v>
      </c>
      <c r="C596">
        <v>0</v>
      </c>
      <c r="D596" s="4" t="s">
        <v>3331</v>
      </c>
      <c r="E596" s="4" t="str">
        <f>'[3]rio results'!M596</f>
        <v>10.1111/acfi.13299</v>
      </c>
      <c r="F596" s="4">
        <v>1</v>
      </c>
    </row>
    <row r="597" spans="1:6" x14ac:dyDescent="0.45">
      <c r="A597" t="s">
        <v>3587</v>
      </c>
      <c r="B597" t="str">
        <f>_xlfn.REGEXREPLACE([3]query3!B597, "https://doi.org/", "")</f>
        <v>10.1212/wnl.96.15_supplement.2918</v>
      </c>
      <c r="C597">
        <v>0</v>
      </c>
      <c r="D597" s="4" t="s">
        <v>3588</v>
      </c>
      <c r="E597" s="4" t="str">
        <f>'[3]rio results'!M597</f>
        <v>10.1016/j.jcrimjus.2024.102299</v>
      </c>
      <c r="F597" s="4">
        <v>1</v>
      </c>
    </row>
    <row r="598" spans="1:6" x14ac:dyDescent="0.45">
      <c r="A598" t="s">
        <v>3589</v>
      </c>
      <c r="B598" t="str">
        <f>_xlfn.REGEXREPLACE([3]query3!B598, "https://doi.org/", "")</f>
        <v>10.1093/geroni/igab046.1534</v>
      </c>
      <c r="C598">
        <v>0</v>
      </c>
      <c r="D598" s="4" t="s">
        <v>3408</v>
      </c>
      <c r="E598" s="4" t="str">
        <f>'[3]rio results'!M598</f>
        <v>10.1016/j.energy.2024.132560</v>
      </c>
      <c r="F598" s="4">
        <v>1</v>
      </c>
    </row>
    <row r="599" spans="1:6" x14ac:dyDescent="0.45">
      <c r="A599" t="s">
        <v>3590</v>
      </c>
      <c r="B599" t="str">
        <f>_xlfn.REGEXREPLACE([3]query3!B599, "https://doi.org/", "")</f>
        <v>10.55016/ojs/cpai.v4i2.74179</v>
      </c>
      <c r="C599">
        <v>0</v>
      </c>
      <c r="D599" s="4" t="s">
        <v>3591</v>
      </c>
      <c r="E599" s="4" t="str">
        <f>'[3]rio results'!M599</f>
        <v>10.1371/journal.pone.0307018</v>
      </c>
      <c r="F599" s="4">
        <v>1</v>
      </c>
    </row>
    <row r="600" spans="1:6" x14ac:dyDescent="0.45">
      <c r="A600" t="s">
        <v>3592</v>
      </c>
      <c r="B600" t="str">
        <f>_xlfn.REGEXREPLACE([3]query3!B600, "https://doi.org/", "")</f>
        <v>10.1093/geroni/igae098.1186</v>
      </c>
      <c r="C600">
        <v>0</v>
      </c>
      <c r="D600" s="4" t="s">
        <v>3593</v>
      </c>
      <c r="E600" s="4" t="str">
        <f>'[3]rio results'!M600</f>
        <v>10.1200/PO.24.00184</v>
      </c>
      <c r="F600" s="4">
        <v>1</v>
      </c>
    </row>
    <row r="601" spans="1:6" x14ac:dyDescent="0.45">
      <c r="A601" t="s">
        <v>3594</v>
      </c>
      <c r="B601" t="str">
        <f>_xlfn.REGEXREPLACE([3]query3!B601, "https://doi.org/", "")</f>
        <v>10.1007/978-3-031-68020-5_1</v>
      </c>
      <c r="C601">
        <v>0</v>
      </c>
      <c r="D601" s="4" t="s">
        <v>3595</v>
      </c>
      <c r="E601" s="4" t="str">
        <f>'[3]rio results'!M601</f>
        <v>10.17269/s41997-024-00883-9</v>
      </c>
      <c r="F601" s="4">
        <v>1</v>
      </c>
    </row>
    <row r="602" spans="1:6" x14ac:dyDescent="0.45">
      <c r="A602" t="s">
        <v>3596</v>
      </c>
      <c r="B602" t="str">
        <f>_xlfn.REGEXREPLACE([3]query3!B602, "https://doi.org/", "")</f>
        <v>10.1093/geroni/igae098.2020</v>
      </c>
      <c r="C602">
        <v>0</v>
      </c>
      <c r="D602" s="4" t="s">
        <v>3597</v>
      </c>
      <c r="E602" s="4" t="str">
        <f>'[3]rio results'!M602</f>
        <v>10.1108/978-1-80455-686-320241022</v>
      </c>
      <c r="F602" s="4">
        <v>1</v>
      </c>
    </row>
    <row r="603" spans="1:6" x14ac:dyDescent="0.45">
      <c r="A603" t="s">
        <v>3598</v>
      </c>
      <c r="B603" t="str">
        <f>_xlfn.REGEXREPLACE([3]query3!B603, "https://doi.org/", "")</f>
        <v>10.1177/23210222241237041</v>
      </c>
      <c r="C603">
        <v>0</v>
      </c>
      <c r="D603" s="4" t="s">
        <v>3599</v>
      </c>
      <c r="E603" s="4" t="str">
        <f>'[3]rio results'!M603</f>
        <v>10.1353/his.2024.a928523</v>
      </c>
      <c r="F603" s="4">
        <v>1</v>
      </c>
    </row>
    <row r="604" spans="1:6" x14ac:dyDescent="0.45">
      <c r="A604" t="s">
        <v>3600</v>
      </c>
      <c r="B604" t="str">
        <f>_xlfn.REGEXREPLACE([3]query3!B604, "https://doi.org/", "")</f>
        <v>10.1080/10410236.2022.2149112</v>
      </c>
      <c r="C604">
        <v>0</v>
      </c>
      <c r="D604" s="4" t="s">
        <v>3601</v>
      </c>
      <c r="E604" s="4" t="str">
        <f>'[3]rio results'!M604</f>
        <v>10.1017/aaq.2023.98</v>
      </c>
      <c r="F604" s="4">
        <v>1</v>
      </c>
    </row>
    <row r="605" spans="1:6" x14ac:dyDescent="0.45">
      <c r="A605" t="s">
        <v>3602</v>
      </c>
      <c r="B605" t="str">
        <f>_xlfn.REGEXREPLACE([3]query3!B605, "https://doi.org/", "")</f>
        <v>10.1093/geroni/igae098.0022</v>
      </c>
      <c r="C605">
        <v>0</v>
      </c>
      <c r="D605" s="4" t="s">
        <v>3603</v>
      </c>
      <c r="E605" s="4" t="str">
        <f>'[3]rio results'!M605</f>
        <v>10.1136/bmjopen-2023-078833</v>
      </c>
      <c r="F605" s="4">
        <v>1</v>
      </c>
    </row>
    <row r="606" spans="1:6" x14ac:dyDescent="0.45">
      <c r="A606" t="s">
        <v>3604</v>
      </c>
      <c r="B606" t="str">
        <f>_xlfn.REGEXREPLACE([3]query3!B606, "https://doi.org/", "")</f>
        <v>10.1093/geroni/igae098.3531</v>
      </c>
      <c r="C606">
        <v>0</v>
      </c>
      <c r="D606" s="4" t="s">
        <v>3375</v>
      </c>
      <c r="E606" s="4" t="str">
        <f>'[3]rio results'!M606</f>
        <v>10.1016/S2468-2667(24)00044-6</v>
      </c>
      <c r="F606" s="4">
        <v>1</v>
      </c>
    </row>
    <row r="607" spans="1:6" x14ac:dyDescent="0.45">
      <c r="A607" t="s">
        <v>3605</v>
      </c>
      <c r="B607" t="str">
        <f>_xlfn.REGEXREPLACE([3]query3!B607, "https://doi.org/", "")</f>
        <v>10.1007/s11075-024-01995-6</v>
      </c>
      <c r="C607">
        <v>0</v>
      </c>
      <c r="D607" s="4" t="s">
        <v>3606</v>
      </c>
      <c r="E607" s="4" t="str">
        <f>'[3]rio results'!M607</f>
        <v>10.1016/j.socscimed.2024.116759</v>
      </c>
      <c r="F607" s="4">
        <v>1</v>
      </c>
    </row>
    <row r="608" spans="1:6" x14ac:dyDescent="0.45">
      <c r="A608" t="s">
        <v>3607</v>
      </c>
      <c r="B608" t="str">
        <f>_xlfn.REGEXREPLACE([3]query3!B608, "https://doi.org/", "")</f>
        <v>10.1016/j.drugpo.2023.104018</v>
      </c>
      <c r="C608">
        <v>0</v>
      </c>
      <c r="D608" s="4" t="s">
        <v>3329</v>
      </c>
      <c r="E608" s="4" t="str">
        <f>'[3]rio results'!M608</f>
        <v>10.1016/j.vaccine.2024.01.003</v>
      </c>
      <c r="F608" s="4">
        <v>1</v>
      </c>
    </row>
    <row r="609" spans="1:6" x14ac:dyDescent="0.45">
      <c r="A609" t="s">
        <v>3608</v>
      </c>
      <c r="B609" t="str">
        <f>_xlfn.REGEXREPLACE([3]query3!B609, "https://doi.org/", "")</f>
        <v>10.21203/rs.3.rs-3098049/v1</v>
      </c>
      <c r="C609">
        <v>0</v>
      </c>
      <c r="D609" s="4" t="s">
        <v>3293</v>
      </c>
      <c r="E609" s="4" t="str">
        <f>'[3]rio results'!M609</f>
        <v>10.1016/j.jpsychires.2024.01.003</v>
      </c>
      <c r="F609" s="4">
        <v>1</v>
      </c>
    </row>
    <row r="610" spans="1:6" x14ac:dyDescent="0.45">
      <c r="A610" t="s">
        <v>3609</v>
      </c>
      <c r="B610" t="str">
        <f>_xlfn.REGEXREPLACE([3]query3!B610, "https://doi.org/", "")</f>
        <v>10.1186/s12954-024-01036-4</v>
      </c>
      <c r="C610">
        <v>0</v>
      </c>
      <c r="D610" s="4" t="s">
        <v>3610</v>
      </c>
      <c r="E610" s="4" t="str">
        <f>'[3]rio results'!M610</f>
        <v>10.1080/07421222.2024.2415775</v>
      </c>
      <c r="F610" s="4">
        <v>1</v>
      </c>
    </row>
    <row r="611" spans="1:6" x14ac:dyDescent="0.45">
      <c r="A611" t="s">
        <v>3611</v>
      </c>
      <c r="B611" t="str">
        <f>_xlfn.REGEXREPLACE([3]query3!B611, "https://doi.org/", "")</f>
        <v>10.1093/geroni/igab046.468</v>
      </c>
      <c r="C611">
        <v>0</v>
      </c>
      <c r="D611" s="4" t="s">
        <v>3612</v>
      </c>
      <c r="E611" s="4" t="str">
        <f>'[3]rio results'!M611</f>
        <v>10.4337/9781800887206.00012</v>
      </c>
      <c r="F611" s="4">
        <v>1</v>
      </c>
    </row>
    <row r="612" spans="1:6" x14ac:dyDescent="0.45">
      <c r="A612" t="s">
        <v>3613</v>
      </c>
      <c r="B612" t="str">
        <f>_xlfn.REGEXREPLACE([3]query3!B612, "https://doi.org/", "")</f>
        <v>10.1007/978-3-031-61819-2_4</v>
      </c>
      <c r="C612">
        <v>0</v>
      </c>
      <c r="D612" s="4" t="s">
        <v>3614</v>
      </c>
      <c r="E612" s="4" t="str">
        <f>'[3]rio results'!M612</f>
        <v>10.4337/9781800885905.00049</v>
      </c>
      <c r="F612" s="4">
        <v>1</v>
      </c>
    </row>
    <row r="613" spans="1:6" x14ac:dyDescent="0.45">
      <c r="A613" t="s">
        <v>3615</v>
      </c>
      <c r="B613" t="str">
        <f>_xlfn.REGEXREPLACE([3]query3!B613, "https://doi.org/", "")</f>
        <v>10.21606/pluriversal.2021.0039</v>
      </c>
      <c r="C613">
        <v>0</v>
      </c>
      <c r="D613" s="4" t="s">
        <v>3386</v>
      </c>
      <c r="E613" s="4" t="str">
        <f>'[3]rio results'!M613</f>
        <v>10.1080/17460794.2024.2421666</v>
      </c>
      <c r="F613" s="4">
        <v>1</v>
      </c>
    </row>
    <row r="614" spans="1:6" x14ac:dyDescent="0.45">
      <c r="A614" t="s">
        <v>3616</v>
      </c>
      <c r="B614" t="str">
        <f>_xlfn.REGEXREPLACE([3]query3!B614, "https://doi.org/", "")</f>
        <v>10.1017/9781108783453.002</v>
      </c>
      <c r="C614">
        <v>0</v>
      </c>
      <c r="D614" s="4" t="s">
        <v>3617</v>
      </c>
      <c r="E614" s="4" t="str">
        <f>'[3]rio results'!M614</f>
        <v>10.4324/9781003435853-1</v>
      </c>
      <c r="F614" s="4">
        <v>1</v>
      </c>
    </row>
    <row r="615" spans="1:6" x14ac:dyDescent="0.45">
      <c r="A615" t="s">
        <v>3618</v>
      </c>
      <c r="B615" t="str">
        <f>_xlfn.REGEXREPLACE([3]query3!B615, "https://doi.org/", "")</f>
        <v>10.1017/9781108783453.004</v>
      </c>
      <c r="C615">
        <v>0</v>
      </c>
      <c r="D615" s="4" t="s">
        <v>3619</v>
      </c>
      <c r="E615" s="4" t="str">
        <f>'[3]rio results'!M615</f>
        <v>10.26522/ssj.v18i3.4801</v>
      </c>
      <c r="F615" s="4">
        <v>1</v>
      </c>
    </row>
    <row r="616" spans="1:6" x14ac:dyDescent="0.45">
      <c r="A616" t="s">
        <v>3620</v>
      </c>
      <c r="B616" t="str">
        <f>_xlfn.REGEXREPLACE([3]query3!B616, "https://doi.org/", "")</f>
        <v>10.1007/978-3-030-54169-9_7</v>
      </c>
      <c r="C616">
        <v>0</v>
      </c>
      <c r="D616" s="4" t="s">
        <v>3621</v>
      </c>
      <c r="E616" s="4" t="str">
        <f>'[3]rio results'!M616</f>
        <v>10.1099/mgen.0.001293</v>
      </c>
      <c r="F616" s="4">
        <v>1</v>
      </c>
    </row>
    <row r="617" spans="1:6" x14ac:dyDescent="0.45">
      <c r="A617" t="s">
        <v>3622</v>
      </c>
      <c r="B617" t="str">
        <f>_xlfn.REGEXREPLACE([3]query3!B617, "https://doi.org/", "")</f>
        <v>10.2139/ssrn.4623075</v>
      </c>
      <c r="C617">
        <v>0</v>
      </c>
      <c r="D617" s="4" t="s">
        <v>3333</v>
      </c>
      <c r="E617" s="4" t="str">
        <f>'[3]rio results'!M617</f>
        <v>10.1080/1461670X.2024.2358116</v>
      </c>
      <c r="F617" s="4">
        <v>1</v>
      </c>
    </row>
    <row r="618" spans="1:6" x14ac:dyDescent="0.45">
      <c r="A618" t="s">
        <v>3623</v>
      </c>
      <c r="B618" t="str">
        <f>_xlfn.REGEXREPLACE([3]query3!B618, "https://doi.org/", "")</f>
        <v>10.1161/str.55.suppl_1.wmp99</v>
      </c>
      <c r="C618">
        <v>0</v>
      </c>
      <c r="D618" s="4" t="s">
        <v>3370</v>
      </c>
      <c r="E618" s="4" t="str">
        <f>'[3]rio results'!M618</f>
        <v>10.2196/48707</v>
      </c>
      <c r="F618" s="4">
        <v>1</v>
      </c>
    </row>
    <row r="619" spans="1:6" x14ac:dyDescent="0.45">
      <c r="A619" t="s">
        <v>3624</v>
      </c>
      <c r="B619" t="str">
        <f>_xlfn.REGEXREPLACE([3]query3!B619, "https://doi.org/", "")</f>
        <v>10.1007/978-3-031-05020-6_14</v>
      </c>
      <c r="C619">
        <v>0</v>
      </c>
      <c r="D619" s="4" t="s">
        <v>3625</v>
      </c>
      <c r="E619" s="4" t="str">
        <f>'[3]rio results'!M619</f>
        <v>10.1080/15528014.2023.2284048</v>
      </c>
      <c r="F619" s="4">
        <v>1</v>
      </c>
    </row>
    <row r="620" spans="1:6" x14ac:dyDescent="0.45">
      <c r="A620" t="s">
        <v>3626</v>
      </c>
      <c r="B620" t="str">
        <f>_xlfn.REGEXREPLACE([3]query3!B620, "https://doi.org/", "")</f>
        <v>10.15173/glj.v14i3.5328</v>
      </c>
      <c r="C620">
        <v>0</v>
      </c>
      <c r="D620" s="4" t="s">
        <v>3627</v>
      </c>
      <c r="E620" s="4" t="str">
        <f>'[3]rio results'!M620</f>
        <v>10.1080/09687637.2023.2261615</v>
      </c>
      <c r="F620" s="4">
        <v>1</v>
      </c>
    </row>
    <row r="621" spans="1:6" x14ac:dyDescent="0.45">
      <c r="A621" t="s">
        <v>3628</v>
      </c>
      <c r="B621" t="str">
        <f>_xlfn.REGEXREPLACE([3]query3!B621, "https://doi.org/", "")</f>
        <v>10.2139/ssrn.5006291</v>
      </c>
      <c r="C621">
        <v>0</v>
      </c>
      <c r="D621" s="4" t="s">
        <v>3357</v>
      </c>
      <c r="E621" s="4" t="str">
        <f>'[3]rio results'!M621</f>
        <v>10.1080/01436597.2023.2251895</v>
      </c>
      <c r="F621" s="4">
        <v>1</v>
      </c>
    </row>
    <row r="622" spans="1:6" x14ac:dyDescent="0.45">
      <c r="A622" t="s">
        <v>3629</v>
      </c>
      <c r="B622" t="str">
        <f>_xlfn.REGEXREPLACE([3]query3!B622, "https://doi.org/", "")</f>
        <v>10.1093/geroni/igae098.1327</v>
      </c>
      <c r="C622">
        <v>0</v>
      </c>
      <c r="D622" s="4" t="s">
        <v>3630</v>
      </c>
      <c r="E622" s="4" t="str">
        <f>'[3]rio results'!M622</f>
        <v>10.1007/978-3-031-68020-5</v>
      </c>
      <c r="F622" s="4">
        <v>1</v>
      </c>
    </row>
    <row r="623" spans="1:6" x14ac:dyDescent="0.45">
      <c r="A623" t="s">
        <v>3631</v>
      </c>
      <c r="B623" t="str">
        <f>_xlfn.REGEXREPLACE([3]query3!B623, "https://doi.org/", "")</f>
        <v>10.2139/ssrn.4919442</v>
      </c>
      <c r="C623">
        <v>0</v>
      </c>
      <c r="D623" s="4" t="s">
        <v>3632</v>
      </c>
      <c r="E623" s="4" t="str">
        <f>'[3]rio results'!M623</f>
        <v>10.4324/9781003340430-15</v>
      </c>
      <c r="F623" s="4">
        <v>1</v>
      </c>
    </row>
    <row r="624" spans="1:6" x14ac:dyDescent="0.45">
      <c r="A624" t="s">
        <v>3631</v>
      </c>
      <c r="B624" t="str">
        <f>_xlfn.REGEXREPLACE([3]query3!B624, "https://doi.org/", "")</f>
        <v>10.2139/ssrn.4899100</v>
      </c>
      <c r="C624">
        <v>0</v>
      </c>
      <c r="D624" s="4" t="s">
        <v>3633</v>
      </c>
      <c r="E624" s="4" t="str">
        <f>'[3]rio results'!M624</f>
        <v>10.3390/su151914378</v>
      </c>
      <c r="F624" s="4">
        <v>1</v>
      </c>
    </row>
    <row r="625" spans="1:6" x14ac:dyDescent="0.45">
      <c r="A625" t="s">
        <v>3634</v>
      </c>
      <c r="B625" t="str">
        <f>_xlfn.REGEXREPLACE([3]query3!B625, "https://doi.org/", "")</f>
        <v>10.1007/978-3-031-68020-5_7</v>
      </c>
      <c r="C625">
        <v>0</v>
      </c>
      <c r="D625" s="4" t="s">
        <v>3635</v>
      </c>
      <c r="E625" s="4">
        <f>'[3]rio results'!M625</f>
        <v>0</v>
      </c>
      <c r="F625" s="4">
        <v>1</v>
      </c>
    </row>
    <row r="626" spans="1:6" x14ac:dyDescent="0.45">
      <c r="A626" t="s">
        <v>3636</v>
      </c>
      <c r="B626" t="str">
        <f>_xlfn.REGEXREPLACE([3]query3!B626, "https://doi.org/", "")</f>
        <v>10.1007/978-3-030-84694-7_51</v>
      </c>
      <c r="C626">
        <v>0</v>
      </c>
      <c r="D626" s="4" t="s">
        <v>3637</v>
      </c>
      <c r="E626" s="4" t="str">
        <f>'[3]rio results'!M626</f>
        <v>10.1111/fme.12627</v>
      </c>
      <c r="F626" s="4">
        <v>1</v>
      </c>
    </row>
    <row r="627" spans="1:6" x14ac:dyDescent="0.45">
      <c r="A627" t="s">
        <v>3638</v>
      </c>
      <c r="B627" t="str">
        <f>_xlfn.REGEXREPLACE([3]query3!B627, "https://doi.org/", "")</f>
        <v>10.23889/ijpds.v9i5.2858</v>
      </c>
      <c r="C627">
        <v>0</v>
      </c>
      <c r="D627" s="4" t="s">
        <v>3639</v>
      </c>
      <c r="E627" s="4" t="str">
        <f>'[3]rio results'!M627</f>
        <v>10.3390/ijerph20136260</v>
      </c>
      <c r="F627" s="4">
        <v>1</v>
      </c>
    </row>
    <row r="628" spans="1:6" x14ac:dyDescent="0.45">
      <c r="A628" t="s">
        <v>3640</v>
      </c>
      <c r="B628" t="str">
        <f>_xlfn.REGEXREPLACE([3]query3!B628, "https://doi.org/", "")</f>
        <v/>
      </c>
      <c r="C628">
        <v>0</v>
      </c>
      <c r="D628" s="4" t="s">
        <v>3641</v>
      </c>
      <c r="E628" s="4" t="str">
        <f>'[3]rio results'!M628</f>
        <v>10.1017/aap.2022.46</v>
      </c>
      <c r="F628" s="4">
        <v>1</v>
      </c>
    </row>
    <row r="629" spans="1:6" x14ac:dyDescent="0.45">
      <c r="A629" t="s">
        <v>3642</v>
      </c>
      <c r="B629" t="str">
        <f>_xlfn.REGEXREPLACE([3]query3!B629, "https://doi.org/", "")</f>
        <v>10.1093/geroni/igae098.0538</v>
      </c>
      <c r="C629">
        <v>0</v>
      </c>
      <c r="D629" s="4" t="s">
        <v>3643</v>
      </c>
      <c r="E629" s="4">
        <f>'[3]rio results'!M629</f>
        <v>0</v>
      </c>
      <c r="F629" s="4">
        <v>1</v>
      </c>
    </row>
    <row r="630" spans="1:6" x14ac:dyDescent="0.45">
      <c r="A630" t="s">
        <v>3644</v>
      </c>
      <c r="B630" t="str">
        <f>_xlfn.REGEXREPLACE([3]query3!B630, "https://doi.org/", "")</f>
        <v>10.1093/geroni/igaa057.950</v>
      </c>
      <c r="C630">
        <v>0</v>
      </c>
      <c r="D630" s="4" t="s">
        <v>3645</v>
      </c>
      <c r="E630" s="4" t="str">
        <f>'[3]rio results'!M630</f>
        <v>10.32866/001c.90533</v>
      </c>
      <c r="F630" s="4">
        <v>1</v>
      </c>
    </row>
    <row r="631" spans="1:6" x14ac:dyDescent="0.45">
      <c r="A631" t="s">
        <v>3646</v>
      </c>
      <c r="B631" t="str">
        <f>_xlfn.REGEXREPLACE([3]query3!B631, "https://doi.org/", "")</f>
        <v>10.1016/b978-0-12-817566-8.00002-4</v>
      </c>
      <c r="C631">
        <v>0</v>
      </c>
      <c r="D631" s="4" t="s">
        <v>3647</v>
      </c>
      <c r="E631" s="4" t="str">
        <f>'[3]rio results'!M631</f>
        <v>10.18584/IIPJ.2023.14.3.14677</v>
      </c>
      <c r="F631" s="4">
        <v>1</v>
      </c>
    </row>
    <row r="632" spans="1:6" x14ac:dyDescent="0.45">
      <c r="A632" t="s">
        <v>3648</v>
      </c>
      <c r="B632" t="str">
        <f>_xlfn.REGEXREPLACE([3]query3!B632, "https://doi.org/", "")</f>
        <v>10.1080/14797585.2022.2040336</v>
      </c>
      <c r="C632">
        <v>0</v>
      </c>
      <c r="D632" s="4" t="s">
        <v>3649</v>
      </c>
      <c r="E632" s="4" t="str">
        <f>'[3]rio results'!M632</f>
        <v>10.4000/CULTUREMUSEES.10013</v>
      </c>
      <c r="F632" s="4">
        <v>1</v>
      </c>
    </row>
    <row r="633" spans="1:6" x14ac:dyDescent="0.45">
      <c r="A633" t="s">
        <v>3631</v>
      </c>
      <c r="B633" t="str">
        <f>_xlfn.REGEXREPLACE([3]query3!B633, "https://doi.org/", "")</f>
        <v>10.2139/ssrn.4901049</v>
      </c>
      <c r="C633">
        <v>0</v>
      </c>
      <c r="D633" s="4" t="s">
        <v>3650</v>
      </c>
      <c r="E633" s="4" t="str">
        <f>'[3]rio results'!M633</f>
        <v>10.1332/174426421X16875142087569</v>
      </c>
      <c r="F633" s="4">
        <v>1</v>
      </c>
    </row>
    <row r="634" spans="1:6" x14ac:dyDescent="0.45">
      <c r="A634" t="s">
        <v>3651</v>
      </c>
      <c r="B634" t="str">
        <f>_xlfn.REGEXREPLACE([3]query3!B634, "https://doi.org/", "")</f>
        <v>10.1017/9781009243728.017</v>
      </c>
      <c r="C634">
        <v>0</v>
      </c>
      <c r="D634" s="4" t="s">
        <v>1537</v>
      </c>
      <c r="E634" s="4" t="str">
        <f>'[3]rio results'!M634</f>
        <v>10.1080/01495933.2023.2263334</v>
      </c>
      <c r="F634" s="4">
        <v>1</v>
      </c>
    </row>
    <row r="635" spans="1:6" x14ac:dyDescent="0.45">
      <c r="A635" t="s">
        <v>3652</v>
      </c>
      <c r="B635" t="str">
        <f>_xlfn.REGEXREPLACE([3]query3!B635, "https://doi.org/", "")</f>
        <v>10.5465/amproc.2023.11479abstract</v>
      </c>
      <c r="C635">
        <v>0</v>
      </c>
      <c r="D635" s="4" t="s">
        <v>3653</v>
      </c>
      <c r="E635" s="4" t="str">
        <f>'[3]rio results'!M635</f>
        <v>10.4324/9781003200871-35</v>
      </c>
      <c r="F635" s="4">
        <v>1</v>
      </c>
    </row>
    <row r="636" spans="1:6" x14ac:dyDescent="0.45">
      <c r="A636" t="s">
        <v>3654</v>
      </c>
      <c r="B636" t="str">
        <f>_xlfn.REGEXREPLACE([3]query3!B636, "https://doi.org/", "")</f>
        <v>10.1007/978-3-031-09716-4_6</v>
      </c>
      <c r="C636">
        <v>0</v>
      </c>
      <c r="D636" s="4" t="s">
        <v>3655</v>
      </c>
      <c r="E636" s="4" t="str">
        <f>'[3]rio results'!M636</f>
        <v>10.54870/1551-3440.1598</v>
      </c>
      <c r="F636" s="4">
        <v>1</v>
      </c>
    </row>
    <row r="637" spans="1:6" x14ac:dyDescent="0.45">
      <c r="A637" t="s">
        <v>3656</v>
      </c>
      <c r="B637" t="str">
        <f>_xlfn.REGEXREPLACE([3]query3!B637, "https://doi.org/", "")</f>
        <v>10.1177/0020702021996315</v>
      </c>
      <c r="C637">
        <v>0</v>
      </c>
      <c r="D637" s="4" t="s">
        <v>3657</v>
      </c>
      <c r="E637" s="4" t="str">
        <f>'[3]rio results'!M637</f>
        <v>10.1007/978-3-031-29937-7_5</v>
      </c>
      <c r="F637" s="4">
        <v>1</v>
      </c>
    </row>
    <row r="638" spans="1:6" x14ac:dyDescent="0.45">
      <c r="A638" t="s">
        <v>3658</v>
      </c>
      <c r="B638" t="str">
        <f>_xlfn.REGEXREPLACE([3]query3!B638, "https://doi.org/", "")</f>
        <v>10.1177/02697580241232436</v>
      </c>
      <c r="C638">
        <v>0</v>
      </c>
      <c r="D638" s="4" t="s">
        <v>3659</v>
      </c>
      <c r="E638" s="4" t="str">
        <f>'[3]rio results'!M638</f>
        <v>10.2196/44720</v>
      </c>
      <c r="F638" s="4">
        <v>1</v>
      </c>
    </row>
    <row r="639" spans="1:6" x14ac:dyDescent="0.45">
      <c r="A639" t="s">
        <v>3660</v>
      </c>
      <c r="B639" t="str">
        <f>_xlfn.REGEXREPLACE([3]query3!B639, "https://doi.org/", "")</f>
        <v/>
      </c>
      <c r="C639">
        <v>0</v>
      </c>
      <c r="D639" s="4" t="s">
        <v>3425</v>
      </c>
      <c r="E639" s="4" t="str">
        <f>'[3]rio results'!M639</f>
        <v>10.1080/02701960.2022.2088534</v>
      </c>
      <c r="F639" s="4">
        <v>1</v>
      </c>
    </row>
    <row r="640" spans="1:6" x14ac:dyDescent="0.45">
      <c r="A640" t="s">
        <v>3661</v>
      </c>
      <c r="B640" t="str">
        <f>_xlfn.REGEXREPLACE([3]query3!B640, "https://doi.org/", "")</f>
        <v>10.1093/geroni/igaa057.2718</v>
      </c>
      <c r="C640">
        <v>0</v>
      </c>
      <c r="D640" s="4" t="s">
        <v>3662</v>
      </c>
      <c r="E640" s="4" t="str">
        <f>'[3]rio results'!M640</f>
        <v>10.5509/2022954685</v>
      </c>
      <c r="F640" s="4">
        <v>1</v>
      </c>
    </row>
    <row r="641" spans="1:6" x14ac:dyDescent="0.45">
      <c r="A641" t="s">
        <v>3663</v>
      </c>
      <c r="B641" t="str">
        <f>_xlfn.REGEXREPLACE([3]query3!B641, "https://doi.org/", "")</f>
        <v>10.14746/prt2021.4.4</v>
      </c>
      <c r="C641">
        <v>0</v>
      </c>
      <c r="D641" s="4" t="s">
        <v>3664</v>
      </c>
      <c r="E641" s="4" t="str">
        <f>'[3]rio results'!M641</f>
        <v>10.1093/oxfordhb/9780198861126.013.15</v>
      </c>
      <c r="F641" s="4">
        <v>1</v>
      </c>
    </row>
    <row r="642" spans="1:6" x14ac:dyDescent="0.45">
      <c r="A642" t="s">
        <v>3665</v>
      </c>
      <c r="B642" t="str">
        <f>_xlfn.REGEXREPLACE([3]query3!B642, "https://doi.org/", "")</f>
        <v>10.1007/978-3-031-25689-9_6</v>
      </c>
      <c r="C642">
        <v>0</v>
      </c>
      <c r="D642" s="4" t="s">
        <v>3401</v>
      </c>
      <c r="E642" s="4" t="str">
        <f>'[3]rio results'!M642</f>
        <v>10.24095/hpcdp.42.5.02</v>
      </c>
      <c r="F642" s="4">
        <v>1</v>
      </c>
    </row>
    <row r="643" spans="1:6" x14ac:dyDescent="0.45">
      <c r="A643" t="s">
        <v>3666</v>
      </c>
      <c r="B643" t="str">
        <f>_xlfn.REGEXREPLACE([3]query3!B643, "https://doi.org/", "")</f>
        <v/>
      </c>
      <c r="C643">
        <v>0</v>
      </c>
      <c r="D643" s="4" t="s">
        <v>3667</v>
      </c>
      <c r="E643" s="4" t="str">
        <f>'[3]rio results'!M643</f>
        <v>10.1108/JHOM-09-2020-0370</v>
      </c>
      <c r="F643" s="4">
        <v>1</v>
      </c>
    </row>
    <row r="644" spans="1:6" x14ac:dyDescent="0.45">
      <c r="A644" t="s">
        <v>3668</v>
      </c>
      <c r="B644" t="str">
        <f>_xlfn.REGEXREPLACE([3]query3!B644, "https://doi.org/", "")</f>
        <v>10.1017/9781107323728.025</v>
      </c>
      <c r="C644">
        <v>0</v>
      </c>
      <c r="D644" s="4" t="s">
        <v>3669</v>
      </c>
      <c r="E644" s="4" t="str">
        <f>'[3]rio results'!M644</f>
        <v>10.1007/978-3-030-74088-7_7</v>
      </c>
      <c r="F644" s="4">
        <v>1</v>
      </c>
    </row>
    <row r="645" spans="1:6" x14ac:dyDescent="0.45">
      <c r="A645" t="s">
        <v>3670</v>
      </c>
      <c r="B645" t="str">
        <f>_xlfn.REGEXREPLACE([3]query3!B645, "https://doi.org/", "")</f>
        <v>10.1007/978-3-031-68020-5_12</v>
      </c>
      <c r="C645">
        <v>0</v>
      </c>
      <c r="D645" s="4" t="s">
        <v>3464</v>
      </c>
      <c r="E645" s="4" t="str">
        <f>'[3]rio results'!M645</f>
        <v>10.1007/978-981-19-5065-0_4</v>
      </c>
      <c r="F645" s="4">
        <v>1</v>
      </c>
    </row>
    <row r="646" spans="1:6" x14ac:dyDescent="0.45">
      <c r="A646" t="s">
        <v>3671</v>
      </c>
      <c r="B646" t="str">
        <f>_xlfn.REGEXREPLACE([3]query3!B646, "https://doi.org/", "")</f>
        <v>10.21428/cb6ab371.06b36557</v>
      </c>
      <c r="C646">
        <v>0</v>
      </c>
      <c r="D646" s="4" t="s">
        <v>3301</v>
      </c>
      <c r="E646" s="4" t="str">
        <f>'[3]rio results'!M646</f>
        <v>10.1007/978-3-031-05020-6_9</v>
      </c>
      <c r="F646" s="4">
        <v>1</v>
      </c>
    </row>
    <row r="647" spans="1:6" x14ac:dyDescent="0.45">
      <c r="A647" t="s">
        <v>3663</v>
      </c>
      <c r="B647" t="str">
        <f>_xlfn.REGEXREPLACE([3]query3!B647, "https://doi.org/", "")</f>
        <v>10.1007/978-3-030-88809-1_2</v>
      </c>
      <c r="C647">
        <v>0</v>
      </c>
      <c r="D647" s="4" t="s">
        <v>3624</v>
      </c>
      <c r="E647" s="4" t="str">
        <f>'[3]rio results'!M647</f>
        <v>10.1007/978-3-031-05020-6_14</v>
      </c>
      <c r="F647" s="4">
        <v>1</v>
      </c>
    </row>
    <row r="648" spans="1:6" x14ac:dyDescent="0.45">
      <c r="A648" t="s">
        <v>3672</v>
      </c>
      <c r="B648" t="str">
        <f>_xlfn.REGEXREPLACE([3]query3!B648, "https://doi.org/", "")</f>
        <v>10.1007/978-3-030-34390-3_7</v>
      </c>
      <c r="C648">
        <v>0</v>
      </c>
      <c r="D648" s="4" t="s">
        <v>3673</v>
      </c>
      <c r="E648" s="4" t="str">
        <f>'[3]rio results'!M648</f>
        <v>10.4324/9781003173427</v>
      </c>
      <c r="F648" s="4">
        <v>1</v>
      </c>
    </row>
    <row r="649" spans="1:6" x14ac:dyDescent="0.45">
      <c r="A649" t="s">
        <v>3674</v>
      </c>
      <c r="B649" t="str">
        <f>_xlfn.REGEXREPLACE([3]query3!B649, "https://doi.org/", "")</f>
        <v>10.5465/ambpp.2020.18857abstract</v>
      </c>
      <c r="C649">
        <v>0</v>
      </c>
      <c r="D649" s="4" t="s">
        <v>3675</v>
      </c>
      <c r="E649" s="4" t="str">
        <f>'[3]rio results'!M649</f>
        <v>10.9778/cmajo.20200249</v>
      </c>
      <c r="F649" s="4">
        <v>1</v>
      </c>
    </row>
    <row r="650" spans="1:6" x14ac:dyDescent="0.45">
      <c r="A650" t="s">
        <v>3676</v>
      </c>
      <c r="B650" t="str">
        <f>_xlfn.REGEXREPLACE([3]query3!B650, "https://doi.org/", "")</f>
        <v>10.1177/10780874241270067</v>
      </c>
      <c r="C650">
        <v>0</v>
      </c>
      <c r="D650" s="4" t="s">
        <v>3677</v>
      </c>
      <c r="E650" s="4" t="str">
        <f>'[3]rio results'!M650</f>
        <v>10.1086/717512</v>
      </c>
      <c r="F650" s="4">
        <v>1</v>
      </c>
    </row>
    <row r="651" spans="1:6" x14ac:dyDescent="0.45">
      <c r="A651" t="s">
        <v>3678</v>
      </c>
      <c r="B651" t="str">
        <f>_xlfn.REGEXREPLACE([3]query3!B651, "https://doi.org/", "")</f>
        <v>10.1017/9781107323728.024</v>
      </c>
      <c r="C651">
        <v>0</v>
      </c>
      <c r="D651" s="4" t="s">
        <v>3679</v>
      </c>
      <c r="E651" s="4" t="str">
        <f>'[3]rio results'!M651</f>
        <v>10.1017/9781316796146.023</v>
      </c>
      <c r="F651" s="4">
        <v>1</v>
      </c>
    </row>
    <row r="652" spans="1:6" x14ac:dyDescent="0.45">
      <c r="A652" t="s">
        <v>3680</v>
      </c>
      <c r="B652" t="str">
        <f>_xlfn.REGEXREPLACE([3]query3!B652, "https://doi.org/", "")</f>
        <v>10.1007/978-3-031-67943-8_13</v>
      </c>
      <c r="C652">
        <v>0</v>
      </c>
      <c r="D652" s="4" t="s">
        <v>3681</v>
      </c>
      <c r="E652" s="4" t="str">
        <f>'[3]rio results'!M652</f>
        <v>10.1145/3447548.3469441</v>
      </c>
      <c r="F652" s="4">
        <v>1</v>
      </c>
    </row>
    <row r="653" spans="1:6" x14ac:dyDescent="0.45">
      <c r="A653" t="s">
        <v>3682</v>
      </c>
      <c r="B653" t="str">
        <f>_xlfn.REGEXREPLACE([3]query3!B653, "https://doi.org/", "")</f>
        <v>10.1017/9781009445504.004</v>
      </c>
      <c r="C653">
        <v>0</v>
      </c>
      <c r="D653" s="4" t="s">
        <v>3683</v>
      </c>
      <c r="E653" s="4" t="str">
        <f>'[3]rio results'!M653</f>
        <v>10.1007/978-3-030-61452-2_10</v>
      </c>
      <c r="F653" s="4">
        <v>1</v>
      </c>
    </row>
    <row r="654" spans="1:6" x14ac:dyDescent="0.45">
      <c r="A654" t="s">
        <v>3684</v>
      </c>
      <c r="B654" t="str">
        <f>_xlfn.REGEXREPLACE([3]query3!B654, "https://doi.org/", "")</f>
        <v>10.1093/geroni/igac059.109</v>
      </c>
      <c r="C654">
        <v>0</v>
      </c>
      <c r="D654" s="4" t="s">
        <v>3308</v>
      </c>
      <c r="E654" s="4" t="str">
        <f>'[3]rio results'!M654</f>
        <v>10.1177/14782103211001635</v>
      </c>
      <c r="F654" s="4">
        <v>1</v>
      </c>
    </row>
    <row r="655" spans="1:6" x14ac:dyDescent="0.45">
      <c r="A655" t="s">
        <v>3685</v>
      </c>
      <c r="B655" t="str">
        <f>_xlfn.REGEXREPLACE([3]query3!B655, "https://doi.org/", "")</f>
        <v>10.1093/geroni/igac059.884</v>
      </c>
      <c r="C655">
        <v>0</v>
      </c>
      <c r="D655" s="4" t="s">
        <v>3686</v>
      </c>
      <c r="E655" s="4">
        <f>'[3]rio results'!M655</f>
        <v>0</v>
      </c>
      <c r="F655" s="4">
        <v>1</v>
      </c>
    </row>
    <row r="656" spans="1:6" x14ac:dyDescent="0.45">
      <c r="A656" t="s">
        <v>3687</v>
      </c>
      <c r="B656" t="str">
        <f>_xlfn.REGEXREPLACE([3]query3!B656, "https://doi.org/", "")</f>
        <v>10.5465/amproc.2023.173bp</v>
      </c>
      <c r="C656">
        <v>0</v>
      </c>
      <c r="D656" s="4" t="s">
        <v>3688</v>
      </c>
      <c r="E656" s="4" t="str">
        <f>'[3]rio results'!M656</f>
        <v>10.3138/topia-43-006</v>
      </c>
      <c r="F656" s="4">
        <v>1</v>
      </c>
    </row>
    <row r="657" spans="1:6" x14ac:dyDescent="0.45">
      <c r="A657" t="s">
        <v>3342</v>
      </c>
      <c r="B657" t="str">
        <f>_xlfn.REGEXREPLACE([3]query3!B657, "https://doi.org/", "")</f>
        <v>10.1007/978-3-030-22786-9_128-1</v>
      </c>
      <c r="C657">
        <v>0</v>
      </c>
      <c r="D657" s="4" t="s">
        <v>3440</v>
      </c>
      <c r="E657" s="4" t="str">
        <f>'[3]rio results'!M657</f>
        <v>10.1007/978-981-16-5379-7_5</v>
      </c>
      <c r="F657" s="4">
        <v>1</v>
      </c>
    </row>
    <row r="658" spans="1:6" x14ac:dyDescent="0.45">
      <c r="A658" t="s">
        <v>3689</v>
      </c>
      <c r="B658" t="str">
        <f>_xlfn.REGEXREPLACE([3]query3!B658, "https://doi.org/", "")</f>
        <v>10.14288/cjur.v6i2.193924</v>
      </c>
      <c r="C658">
        <v>0</v>
      </c>
      <c r="D658" s="4" t="s">
        <v>3367</v>
      </c>
      <c r="E658" s="4">
        <f>'[3]rio results'!M658</f>
        <v>0</v>
      </c>
      <c r="F658" s="4">
        <v>1</v>
      </c>
    </row>
    <row r="659" spans="1:6" x14ac:dyDescent="0.45">
      <c r="A659" t="s">
        <v>3690</v>
      </c>
      <c r="B659" t="str">
        <f>_xlfn.REGEXREPLACE([3]query3!B659, "https://doi.org/", "")</f>
        <v>10.1007/978-3-031-25689-9_1</v>
      </c>
      <c r="C659">
        <v>0</v>
      </c>
      <c r="D659" s="4" t="s">
        <v>3691</v>
      </c>
      <c r="E659" s="4" t="str">
        <f>'[3]rio results'!M659</f>
        <v>10.5751/ES-12339-260216</v>
      </c>
      <c r="F659" s="4">
        <v>1</v>
      </c>
    </row>
    <row r="660" spans="1:6" x14ac:dyDescent="0.45">
      <c r="A660" t="s">
        <v>3692</v>
      </c>
      <c r="B660" t="str">
        <f>_xlfn.REGEXREPLACE([3]query3!B660, "https://doi.org/", "")</f>
        <v>10.1177/11771801211038395</v>
      </c>
      <c r="C660">
        <v>0</v>
      </c>
      <c r="D660" s="4" t="s">
        <v>3423</v>
      </c>
      <c r="E660" s="4" t="str">
        <f>'[3]rio results'!M660</f>
        <v>10.1016/j.cub.2020.08.060</v>
      </c>
      <c r="F660" s="4">
        <v>1</v>
      </c>
    </row>
    <row r="661" spans="1:6" x14ac:dyDescent="0.45">
      <c r="A661" t="s">
        <v>3693</v>
      </c>
      <c r="B661" t="str">
        <f>_xlfn.REGEXREPLACE([3]query3!B661, "https://doi.org/", "")</f>
        <v>10.3934/math.2023619</v>
      </c>
      <c r="C661">
        <v>0</v>
      </c>
      <c r="D661" s="4" t="s">
        <v>3694</v>
      </c>
      <c r="E661" s="4" t="str">
        <f>'[3]rio results'!M661</f>
        <v>10.1111/dar.13095</v>
      </c>
      <c r="F661" s="4">
        <v>1</v>
      </c>
    </row>
    <row r="662" spans="1:6" x14ac:dyDescent="0.45">
      <c r="A662" t="s">
        <v>3695</v>
      </c>
      <c r="B662" t="str">
        <f>_xlfn.REGEXREPLACE([3]query3!B662, "https://doi.org/", "")</f>
        <v>10.1079/9781789242812.0003</v>
      </c>
      <c r="C662">
        <v>0</v>
      </c>
      <c r="D662" s="4" t="s">
        <v>3358</v>
      </c>
      <c r="E662" s="4" t="str">
        <f>'[3]rio results'!M662</f>
        <v>10.1007/s42413-020-00065-8</v>
      </c>
      <c r="F662" s="4">
        <v>1</v>
      </c>
    </row>
    <row r="663" spans="1:6" x14ac:dyDescent="0.45">
      <c r="A663" t="s">
        <v>3696</v>
      </c>
      <c r="B663" t="str">
        <f>_xlfn.REGEXREPLACE([3]query3!B663, "https://doi.org/", "")</f>
        <v>10.31235/osf.io/xy874</v>
      </c>
      <c r="C663">
        <v>0</v>
      </c>
      <c r="D663" s="4" t="s">
        <v>3697</v>
      </c>
      <c r="E663" s="4" t="str">
        <f>'[3]rio results'!M663</f>
        <v>10.1016/B978-0-12-817566-8.00002-4</v>
      </c>
      <c r="F663" s="4">
        <v>1</v>
      </c>
    </row>
    <row r="664" spans="1:6" x14ac:dyDescent="0.45">
      <c r="A664" t="s">
        <v>3698</v>
      </c>
      <c r="B664" t="str">
        <f>_xlfn.REGEXREPLACE([3]query3!B664, "https://doi.org/", "")</f>
        <v>10.1093/geroni/igac059.1581</v>
      </c>
      <c r="C664">
        <v>0</v>
      </c>
      <c r="D664" s="4" t="s">
        <v>3699</v>
      </c>
      <c r="E664" s="4" t="str">
        <f>'[3]rio results'!M664</f>
        <v>10.5465/AMBPP.2020.5</v>
      </c>
      <c r="F664" s="4">
        <v>1</v>
      </c>
    </row>
    <row r="665" spans="1:6" x14ac:dyDescent="0.45">
      <c r="A665" t="s">
        <v>3700</v>
      </c>
      <c r="B665" t="str">
        <f>_xlfn.REGEXREPLACE([3]query3!B665, "https://doi.org/", "")</f>
        <v>10.1101/2022.04.25.489430</v>
      </c>
      <c r="C665">
        <v>0</v>
      </c>
      <c r="D665" s="4" t="s">
        <v>3295</v>
      </c>
      <c r="E665" s="4" t="str">
        <f>'[3]rio results'!M665</f>
        <v>10.1007/978-3-030-47150-7_16</v>
      </c>
      <c r="F665" s="4">
        <v>1</v>
      </c>
    </row>
    <row r="666" spans="1:6" x14ac:dyDescent="0.45">
      <c r="A666" t="s">
        <v>3701</v>
      </c>
      <c r="B666" t="str">
        <f>_xlfn.REGEXREPLACE([3]query3!B666, "https://doi.org/", "")</f>
        <v>10.1007/978-3-031-61966-3_5</v>
      </c>
      <c r="C666">
        <v>0</v>
      </c>
      <c r="D666" s="4" t="s">
        <v>3534</v>
      </c>
      <c r="E666" s="4" t="str">
        <f>'[3]rio results'!M666</f>
        <v>10.1007/978-3-030-14622-1_85</v>
      </c>
      <c r="F666" s="4">
        <v>1</v>
      </c>
    </row>
    <row r="667" spans="1:6" x14ac:dyDescent="0.45">
      <c r="A667" t="s">
        <v>3702</v>
      </c>
      <c r="B667" t="str">
        <f>_xlfn.REGEXREPLACE([3]query3!B667, "https://doi.org/", "")</f>
        <v>10.2139/ssrn.4212779</v>
      </c>
      <c r="C667">
        <v>0</v>
      </c>
      <c r="D667" s="4" t="s">
        <v>3313</v>
      </c>
      <c r="E667" s="4" t="str">
        <f>'[3]rio results'!M667</f>
        <v>10.32866/001c.13207</v>
      </c>
      <c r="F667" s="4">
        <v>1</v>
      </c>
    </row>
    <row r="668" spans="1:6" x14ac:dyDescent="0.45">
      <c r="A668" t="s">
        <v>3703</v>
      </c>
      <c r="B668" t="str">
        <f>_xlfn.REGEXREPLACE([3]query3!B668, "https://doi.org/", "")</f>
        <v>10.1016/j.ijedudev.2022.102672</v>
      </c>
      <c r="C668">
        <v>0</v>
      </c>
      <c r="D668" s="4" t="s">
        <v>3704</v>
      </c>
      <c r="E668" s="4" t="str">
        <f>'[3]rio results'!M668</f>
        <v>10.4324/9781003458081-14</v>
      </c>
      <c r="F668" s="4">
        <v>0</v>
      </c>
    </row>
    <row r="669" spans="1:6" x14ac:dyDescent="0.45">
      <c r="A669" t="s">
        <v>3206</v>
      </c>
      <c r="B669" t="str">
        <f>_xlfn.REGEXREPLACE([3]query3!B669, "https://doi.org/", "")</f>
        <v>10.31234/osf.io/z7fra</v>
      </c>
      <c r="C669">
        <v>0</v>
      </c>
      <c r="D669" s="4" t="s">
        <v>3705</v>
      </c>
      <c r="E669" s="4" t="str">
        <f>'[3]rio results'!M669</f>
        <v>10.1136/bmjopen-2023-078287</v>
      </c>
      <c r="F669" s="4">
        <v>0</v>
      </c>
    </row>
    <row r="670" spans="1:6" x14ac:dyDescent="0.45">
      <c r="A670" t="s">
        <v>3706</v>
      </c>
      <c r="B670" t="str">
        <f>_xlfn.REGEXREPLACE([3]query3!B670, "https://doi.org/", "")</f>
        <v>10.5325/jasiapacipopcult.6.2.0334</v>
      </c>
      <c r="C670">
        <v>0</v>
      </c>
      <c r="D670" s="4" t="s">
        <v>3609</v>
      </c>
      <c r="E670" s="4" t="str">
        <f>'[3]rio results'!M670</f>
        <v>10.1186/s12954-024-01036-4</v>
      </c>
      <c r="F670" s="4">
        <v>0</v>
      </c>
    </row>
    <row r="671" spans="1:6" x14ac:dyDescent="0.45">
      <c r="A671" t="s">
        <v>3707</v>
      </c>
      <c r="B671" t="str">
        <f>_xlfn.REGEXREPLACE([3]query3!B671, "https://doi.org/", "")</f>
        <v>10.33182/ijor.v1i1.1104</v>
      </c>
      <c r="C671">
        <v>0</v>
      </c>
      <c r="D671" s="4" t="s">
        <v>3708</v>
      </c>
      <c r="E671" s="4" t="str">
        <f>'[3]rio results'!M671</f>
        <v>10.1017/S0008423924000325</v>
      </c>
      <c r="F671" s="4">
        <v>0</v>
      </c>
    </row>
    <row r="672" spans="1:6" x14ac:dyDescent="0.45">
      <c r="A672" t="s">
        <v>3709</v>
      </c>
      <c r="B672" t="str">
        <f>_xlfn.REGEXREPLACE([3]query3!B672, "https://doi.org/", "")</f>
        <v>10.2196/preprints.44720</v>
      </c>
      <c r="C672">
        <v>0</v>
      </c>
      <c r="D672" s="4" t="s">
        <v>3710</v>
      </c>
      <c r="E672" s="4" t="str">
        <f>'[3]rio results'!M672</f>
        <v>10.4324/9781003290933-5</v>
      </c>
      <c r="F672" s="4">
        <v>0</v>
      </c>
    </row>
    <row r="673" spans="1:6" x14ac:dyDescent="0.45">
      <c r="A673" t="s">
        <v>3711</v>
      </c>
      <c r="B673" t="str">
        <f>_xlfn.REGEXREPLACE([3]query3!B673, "https://doi.org/", "")</f>
        <v>10.2139/ssrn.4657102</v>
      </c>
      <c r="C673">
        <v>0</v>
      </c>
      <c r="D673" s="4" t="s">
        <v>3712</v>
      </c>
      <c r="E673" s="4" t="str">
        <f>'[3]rio results'!M673</f>
        <v>10.1016/j.maturitas.2024.108088</v>
      </c>
      <c r="F673" s="4">
        <v>0</v>
      </c>
    </row>
    <row r="674" spans="1:6" x14ac:dyDescent="0.45">
      <c r="A674" t="s">
        <v>3713</v>
      </c>
      <c r="B674" t="str">
        <f>_xlfn.REGEXREPLACE([3]query3!B674, "https://doi.org/", "")</f>
        <v>10.21810/jicw.v5i2.5056</v>
      </c>
      <c r="C674">
        <v>0</v>
      </c>
      <c r="D674" s="4" t="s">
        <v>3714</v>
      </c>
      <c r="E674" s="4" t="str">
        <f>'[3]rio results'!M674</f>
        <v>10.4324/9781003519577</v>
      </c>
      <c r="F674" s="4">
        <v>0</v>
      </c>
    </row>
    <row r="675" spans="1:6" x14ac:dyDescent="0.45">
      <c r="A675" t="s">
        <v>3715</v>
      </c>
      <c r="B675" t="str">
        <f>_xlfn.REGEXREPLACE([3]query3!B675, "https://doi.org/", "")</f>
        <v>10.18806/tesl.v39i2/1379</v>
      </c>
      <c r="C675">
        <v>0</v>
      </c>
      <c r="D675" s="4" t="s">
        <v>3716</v>
      </c>
      <c r="E675" s="4" t="str">
        <f>'[3]rio results'!M675</f>
        <v>10.4324/9781003410591-67</v>
      </c>
      <c r="F675" s="4">
        <v>0</v>
      </c>
    </row>
    <row r="676" spans="1:6" x14ac:dyDescent="0.45">
      <c r="A676" t="s">
        <v>3717</v>
      </c>
      <c r="B676" t="str">
        <f>_xlfn.REGEXREPLACE([3]query3!B676, "https://doi.org/", "")</f>
        <v>10.1007/978-3-031-78586-3_8</v>
      </c>
      <c r="C676">
        <v>0</v>
      </c>
      <c r="D676" s="4" t="s">
        <v>3366</v>
      </c>
      <c r="E676" s="4" t="str">
        <f>'[3]rio results'!M676</f>
        <v>10.1057/s41253-024-00261-4</v>
      </c>
      <c r="F676" s="4">
        <v>0</v>
      </c>
    </row>
    <row r="677" spans="1:6" x14ac:dyDescent="0.45">
      <c r="A677" t="s">
        <v>3214</v>
      </c>
      <c r="B677" t="str">
        <f>_xlfn.REGEXREPLACE([3]query3!B677, "https://doi.org/", "")</f>
        <v>10.16997/10.16997/jdd.1043</v>
      </c>
      <c r="C677">
        <v>0</v>
      </c>
      <c r="D677" s="4" t="s">
        <v>3718</v>
      </c>
      <c r="E677" s="4" t="str">
        <f>'[3]rio results'!M677</f>
        <v>10.1177/02697580241232436</v>
      </c>
      <c r="F677" s="4">
        <v>0</v>
      </c>
    </row>
    <row r="678" spans="1:6" x14ac:dyDescent="0.45">
      <c r="A678" t="s">
        <v>3719</v>
      </c>
      <c r="B678" t="str">
        <f>_xlfn.REGEXREPLACE([3]query3!B678, "https://doi.org/", "")</f>
        <v>10.5465/amproc.2023.14743symposium</v>
      </c>
      <c r="C678">
        <v>0</v>
      </c>
      <c r="D678" s="4" t="s">
        <v>3407</v>
      </c>
      <c r="E678" s="4" t="str">
        <f>'[3]rio results'!M678</f>
        <v>10.2196/52018</v>
      </c>
      <c r="F678" s="4">
        <v>0</v>
      </c>
    </row>
    <row r="679" spans="1:6" x14ac:dyDescent="0.45">
      <c r="A679" t="s">
        <v>3720</v>
      </c>
      <c r="B679" t="str">
        <f>_xlfn.REGEXREPLACE([3]query3!B679, "https://doi.org/", "")</f>
        <v>10.2139/ssrn.4102965</v>
      </c>
      <c r="C679">
        <v>0</v>
      </c>
      <c r="D679" s="4" t="s">
        <v>3721</v>
      </c>
      <c r="E679" s="4" t="str">
        <f>'[3]rio results'!M679</f>
        <v>10.1123/jpah.2023-0740</v>
      </c>
      <c r="F679" s="4">
        <v>0</v>
      </c>
    </row>
    <row r="680" spans="1:6" x14ac:dyDescent="0.45">
      <c r="A680" t="s">
        <v>3722</v>
      </c>
      <c r="B680" t="str">
        <f>_xlfn.REGEXREPLACE([3]query3!B680, "https://doi.org/", "")</f>
        <v>10.2139/ssrn.4484478</v>
      </c>
      <c r="C680">
        <v>0</v>
      </c>
      <c r="D680" s="4" t="s">
        <v>3598</v>
      </c>
      <c r="E680" s="4" t="str">
        <f>'[3]rio results'!M680</f>
        <v>10.1177/23210222241237041</v>
      </c>
      <c r="F680" s="4">
        <v>0</v>
      </c>
    </row>
    <row r="681" spans="1:6" x14ac:dyDescent="0.45">
      <c r="A681" t="s">
        <v>3723</v>
      </c>
      <c r="B681" t="str">
        <f>_xlfn.REGEXREPLACE([3]query3!B681, "https://doi.org/", "")</f>
        <v>10.1017/9781108878142.018</v>
      </c>
      <c r="C681">
        <v>0</v>
      </c>
      <c r="D681" s="4" t="s">
        <v>3526</v>
      </c>
      <c r="E681" s="4" t="str">
        <f>'[3]rio results'!M681</f>
        <v>10.1007/s00406-023-01664-0</v>
      </c>
      <c r="F681" s="4">
        <v>0</v>
      </c>
    </row>
    <row r="682" spans="1:6" x14ac:dyDescent="0.45">
      <c r="A682" t="s">
        <v>3724</v>
      </c>
      <c r="B682" t="str">
        <f>_xlfn.REGEXREPLACE([3]query3!B682, "https://doi.org/", "")</f>
        <v>10.1007/978-3-030-49540-4_15</v>
      </c>
      <c r="C682">
        <v>0</v>
      </c>
      <c r="D682" s="4" t="s">
        <v>3725</v>
      </c>
      <c r="E682" s="4">
        <f>'[3]rio results'!M682</f>
        <v>0</v>
      </c>
      <c r="F682" s="4">
        <v>0</v>
      </c>
    </row>
    <row r="683" spans="1:6" x14ac:dyDescent="0.45">
      <c r="A683" t="s">
        <v>3720</v>
      </c>
      <c r="B683" t="str">
        <f>_xlfn.REGEXREPLACE([3]query3!B683, "https://doi.org/", "")</f>
        <v>10.3390/jrfm15090387</v>
      </c>
      <c r="C683">
        <v>0</v>
      </c>
      <c r="D683" s="4" t="s">
        <v>3717</v>
      </c>
      <c r="E683" s="4" t="str">
        <f>'[3]rio results'!M683</f>
        <v>10.1007/978-3-031-78586-3_8</v>
      </c>
      <c r="F683" s="4">
        <v>0</v>
      </c>
    </row>
    <row r="684" spans="1:6" x14ac:dyDescent="0.45">
      <c r="A684" t="s">
        <v>3726</v>
      </c>
      <c r="B684" t="str">
        <f>_xlfn.REGEXREPLACE([3]query3!B684, "https://doi.org/", "")</f>
        <v>10.1080/09640568.2024.2362898</v>
      </c>
      <c r="C684">
        <v>0</v>
      </c>
      <c r="D684" s="4" t="s">
        <v>3727</v>
      </c>
      <c r="E684" s="4" t="str">
        <f>'[3]rio results'!M684</f>
        <v>10.3389/frsc.2024.1518618</v>
      </c>
      <c r="F684" s="4">
        <v>0</v>
      </c>
    </row>
    <row r="685" spans="1:6" x14ac:dyDescent="0.45">
      <c r="A685" t="s">
        <v>3728</v>
      </c>
      <c r="B685" t="str">
        <f>_xlfn.REGEXREPLACE([3]query3!B685, "https://doi.org/", "")</f>
        <v>10.1007/978-3-031-53196-5_13</v>
      </c>
      <c r="C685">
        <v>0</v>
      </c>
      <c r="D685" s="4" t="s">
        <v>3729</v>
      </c>
      <c r="E685" s="4" t="str">
        <f>'[3]rio results'!M685</f>
        <v>10.4324/9781003575474-6</v>
      </c>
      <c r="F685" s="4">
        <v>0</v>
      </c>
    </row>
    <row r="686" spans="1:6" x14ac:dyDescent="0.45">
      <c r="A686" t="s">
        <v>3730</v>
      </c>
      <c r="B686" t="str">
        <f>_xlfn.REGEXREPLACE([3]query3!B686, "https://doi.org/", "")</f>
        <v>10.1093/geroni/igac059.2070</v>
      </c>
      <c r="C686">
        <v>0</v>
      </c>
      <c r="D686" s="4" t="s">
        <v>3336</v>
      </c>
      <c r="E686" s="4" t="str">
        <f>'[3]rio results'!M686</f>
        <v>10.3389/fdgth.2024.1484503</v>
      </c>
      <c r="F686" s="4">
        <v>0</v>
      </c>
    </row>
    <row r="687" spans="1:6" x14ac:dyDescent="0.45">
      <c r="A687" t="s">
        <v>3731</v>
      </c>
      <c r="B687" t="str">
        <f>_xlfn.REGEXREPLACE([3]query3!B687, "https://doi.org/", "")</f>
        <v>10.29173/pathfinder17</v>
      </c>
      <c r="C687">
        <v>0</v>
      </c>
      <c r="D687" s="4" t="s">
        <v>3732</v>
      </c>
      <c r="E687" s="4" t="str">
        <f>'[3]rio results'!M687</f>
        <v>10.1007/978-3-031-46514-7_4</v>
      </c>
      <c r="F687" s="4">
        <v>0</v>
      </c>
    </row>
    <row r="688" spans="1:6" x14ac:dyDescent="0.45">
      <c r="A688" t="s">
        <v>3733</v>
      </c>
      <c r="B688" t="str">
        <f>_xlfn.REGEXREPLACE([3]query3!B688, "https://doi.org/", "")</f>
        <v>10.7557/5.7772</v>
      </c>
      <c r="C688">
        <v>0</v>
      </c>
      <c r="D688" s="4" t="s">
        <v>3734</v>
      </c>
      <c r="E688" s="4" t="str">
        <f>'[3]rio results'!M688</f>
        <v>10.4324/9781003449508-23</v>
      </c>
      <c r="F688" s="4">
        <v>0</v>
      </c>
    </row>
    <row r="689" spans="1:6" x14ac:dyDescent="0.45">
      <c r="A689" t="s">
        <v>3735</v>
      </c>
      <c r="B689" t="str">
        <f>_xlfn.REGEXREPLACE([3]query3!B689, "https://doi.org/", "")</f>
        <v>10.14506/ca38.1.03</v>
      </c>
      <c r="C689">
        <v>0</v>
      </c>
      <c r="D689" s="4" t="s">
        <v>3736</v>
      </c>
      <c r="E689" s="4" t="str">
        <f>'[3]rio results'!M689</f>
        <v>10.4324/9781003253068-11</v>
      </c>
      <c r="F689" s="4">
        <v>0</v>
      </c>
    </row>
    <row r="690" spans="1:6" x14ac:dyDescent="0.45">
      <c r="A690" t="s">
        <v>3737</v>
      </c>
      <c r="B690" t="str">
        <f>_xlfn.REGEXREPLACE([3]query3!B690, "https://doi.org/", "")</f>
        <v>10.2139/ssrn.4610405</v>
      </c>
      <c r="C690">
        <v>0</v>
      </c>
      <c r="D690" s="4" t="s">
        <v>3738</v>
      </c>
      <c r="E690" s="4" t="str">
        <f>'[3]rio results'!M690</f>
        <v>10.4337/9781802209228.00014</v>
      </c>
      <c r="F690" s="4">
        <v>0</v>
      </c>
    </row>
    <row r="691" spans="1:6" x14ac:dyDescent="0.45">
      <c r="A691" t="s">
        <v>3739</v>
      </c>
      <c r="B691" t="str">
        <f>_xlfn.REGEXREPLACE([3]query3!B691, "https://doi.org/", "")</f>
        <v>10.1093/jdh/epaa064</v>
      </c>
      <c r="C691">
        <v>0</v>
      </c>
      <c r="D691" s="4" t="s">
        <v>3740</v>
      </c>
      <c r="E691" s="4" t="str">
        <f>'[3]rio results'!M691</f>
        <v>10.1590/1678-9865202437E230139</v>
      </c>
      <c r="F691" s="4">
        <v>0</v>
      </c>
    </row>
    <row r="692" spans="1:6" x14ac:dyDescent="0.45">
      <c r="A692" t="s">
        <v>3741</v>
      </c>
      <c r="B692" t="str">
        <f>_xlfn.REGEXREPLACE([3]query3!B692, "https://doi.org/", "")</f>
        <v>10.1007/978-981-99-2760-9_6</v>
      </c>
      <c r="C692">
        <v>0</v>
      </c>
      <c r="D692" s="4" t="s">
        <v>3742</v>
      </c>
      <c r="E692" s="4" t="str">
        <f>'[3]rio results'!M692</f>
        <v>10.1016/B978-0-443-32824-4.00003-1</v>
      </c>
      <c r="F692" s="4">
        <v>0</v>
      </c>
    </row>
    <row r="693" spans="1:6" x14ac:dyDescent="0.45">
      <c r="A693" t="s">
        <v>3737</v>
      </c>
      <c r="B693" t="str">
        <f>_xlfn.REGEXREPLACE([3]query3!B693, "https://doi.org/", "")</f>
        <v>10.2139/ssrn.4596751</v>
      </c>
      <c r="C693">
        <v>0</v>
      </c>
      <c r="D693" s="4" t="s">
        <v>3743</v>
      </c>
      <c r="E693" s="4" t="str">
        <f>'[3]rio results'!M693</f>
        <v>10.1007/978-3-031-58488-6_1</v>
      </c>
      <c r="F693" s="4">
        <v>0</v>
      </c>
    </row>
    <row r="694" spans="1:6" x14ac:dyDescent="0.45">
      <c r="A694" t="s">
        <v>3744</v>
      </c>
      <c r="B694" t="str">
        <f>_xlfn.REGEXREPLACE([3]query3!B694, "https://doi.org/", "")</f>
        <v>10.21203/rs.3.rs-889586/v1</v>
      </c>
      <c r="C694">
        <v>0</v>
      </c>
      <c r="D694" s="4" t="s">
        <v>3745</v>
      </c>
      <c r="E694" s="4" t="str">
        <f>'[3]rio results'!M694</f>
        <v>10.1080/02722011.2024.2364375</v>
      </c>
      <c r="F694" s="4">
        <v>0</v>
      </c>
    </row>
    <row r="695" spans="1:6" x14ac:dyDescent="0.45">
      <c r="A695" t="s">
        <v>3746</v>
      </c>
      <c r="B695" t="str">
        <f>_xlfn.REGEXREPLACE([3]query3!B695, "https://doi.org/", "")</f>
        <v>10.21810/strm.v13i1.321</v>
      </c>
      <c r="C695">
        <v>0</v>
      </c>
      <c r="D695" s="4" t="s">
        <v>3501</v>
      </c>
      <c r="E695" s="4" t="str">
        <f>'[3]rio results'!M695</f>
        <v>10.1007/s11212-024-09647-0</v>
      </c>
      <c r="F695" s="4">
        <v>0</v>
      </c>
    </row>
    <row r="696" spans="1:6" x14ac:dyDescent="0.45">
      <c r="A696" t="s">
        <v>2220</v>
      </c>
      <c r="B696" t="str">
        <f>_xlfn.REGEXREPLACE([3]query3!B696, "https://doi.org/", "")</f>
        <v>10.5194/isprs-annals-v-4-2020-7-2020</v>
      </c>
      <c r="C696">
        <v>0</v>
      </c>
      <c r="D696" s="4" t="s">
        <v>3701</v>
      </c>
      <c r="E696" s="4" t="str">
        <f>'[3]rio results'!M696</f>
        <v>10.1007/978-3-031-61966-3_5</v>
      </c>
      <c r="F696" s="4">
        <v>0</v>
      </c>
    </row>
    <row r="697" spans="1:6" x14ac:dyDescent="0.45">
      <c r="A697" t="s">
        <v>2218</v>
      </c>
      <c r="B697" t="str">
        <f>_xlfn.REGEXREPLACE([3]query3!B697, "https://doi.org/", "")</f>
        <v>10.5194/isprs-archives-xliii-b4-2020-7-2020</v>
      </c>
      <c r="C697">
        <v>0</v>
      </c>
      <c r="D697" s="4" t="s">
        <v>3747</v>
      </c>
      <c r="E697" s="4" t="str">
        <f>'[3]rio results'!M697</f>
        <v>10.1080/26883597.2023.2182700</v>
      </c>
      <c r="F697" s="4">
        <v>0</v>
      </c>
    </row>
    <row r="698" spans="1:6" x14ac:dyDescent="0.45">
      <c r="A698" t="s">
        <v>3748</v>
      </c>
      <c r="B698" t="str">
        <f>_xlfn.REGEXREPLACE([3]query3!B698, "https://doi.org/", "")</f>
        <v>10.1017/lsi.2022.105</v>
      </c>
      <c r="C698">
        <v>0</v>
      </c>
      <c r="D698" s="4" t="s">
        <v>3448</v>
      </c>
      <c r="E698" s="4" t="str">
        <f>'[3]rio results'!M698</f>
        <v>10.3389/fpsyg.2024.1374330</v>
      </c>
      <c r="F698" s="4">
        <v>0</v>
      </c>
    </row>
    <row r="699" spans="1:6" x14ac:dyDescent="0.45">
      <c r="A699" t="s">
        <v>3749</v>
      </c>
      <c r="B699" t="str">
        <f>_xlfn.REGEXREPLACE([3]query3!B699, "https://doi.org/", "")</f>
        <v>10.20933/100001248</v>
      </c>
      <c r="C699">
        <v>0</v>
      </c>
      <c r="D699" s="4" t="s">
        <v>3750</v>
      </c>
      <c r="E699" s="4" t="str">
        <f>'[3]rio results'!M699</f>
        <v>10.1080/09540121.2023.2277150</v>
      </c>
      <c r="F699" s="4">
        <v>0</v>
      </c>
    </row>
    <row r="700" spans="1:6" x14ac:dyDescent="0.45">
      <c r="A700" t="s">
        <v>3751</v>
      </c>
      <c r="B700" t="str">
        <f>_xlfn.REGEXREPLACE([3]query3!B700, "https://doi.org/", "")</f>
        <v>10.20933/100001249</v>
      </c>
      <c r="C700">
        <v>0</v>
      </c>
      <c r="D700" s="4" t="s">
        <v>2178</v>
      </c>
      <c r="E700" s="4" t="str">
        <f>'[3]rio results'!M700</f>
        <v>10.1080/13629395.2023.2183665</v>
      </c>
      <c r="F700" s="4">
        <v>0</v>
      </c>
    </row>
    <row r="701" spans="1:6" x14ac:dyDescent="0.45">
      <c r="A701" t="s">
        <v>3752</v>
      </c>
      <c r="B701" t="str">
        <f>_xlfn.REGEXREPLACE([3]query3!B701, "https://doi.org/", "")</f>
        <v>10.1136/annrheumdis-2022-eular.496</v>
      </c>
      <c r="C701">
        <v>0</v>
      </c>
      <c r="D701" s="4" t="s">
        <v>3753</v>
      </c>
      <c r="E701" s="4" t="str">
        <f>'[3]rio results'!M701</f>
        <v>10.1108/979-8-88730-858-620251003</v>
      </c>
      <c r="F701" s="4">
        <v>0</v>
      </c>
    </row>
    <row r="702" spans="1:6" x14ac:dyDescent="0.45">
      <c r="A702" t="s">
        <v>3754</v>
      </c>
      <c r="B702" t="str">
        <f>_xlfn.REGEXREPLACE([3]query3!B702, "https://doi.org/", "")</f>
        <v>10.20933/100001252</v>
      </c>
      <c r="C702">
        <v>0</v>
      </c>
      <c r="D702" s="4" t="s">
        <v>3755</v>
      </c>
      <c r="E702" s="4">
        <f>'[3]rio results'!M702</f>
        <v>0</v>
      </c>
      <c r="F702" s="4">
        <v>0</v>
      </c>
    </row>
    <row r="703" spans="1:6" x14ac:dyDescent="0.45">
      <c r="A703" t="s">
        <v>3756</v>
      </c>
      <c r="B703" t="str">
        <f>_xlfn.REGEXREPLACE([3]query3!B703, "https://doi.org/", "")</f>
        <v>10.20933/100001251</v>
      </c>
      <c r="C703">
        <v>0</v>
      </c>
      <c r="D703" s="4" t="s">
        <v>3757</v>
      </c>
      <c r="E703" s="4">
        <f>'[3]rio results'!M703</f>
        <v>0</v>
      </c>
      <c r="F703" s="4">
        <v>0</v>
      </c>
    </row>
    <row r="704" spans="1:6" x14ac:dyDescent="0.45">
      <c r="A704" t="s">
        <v>3758</v>
      </c>
      <c r="B704" t="str">
        <f>_xlfn.REGEXREPLACE([3]query3!B704, "https://doi.org/", "")</f>
        <v>10.20933/100001255</v>
      </c>
      <c r="C704">
        <v>0</v>
      </c>
      <c r="D704" s="4" t="s">
        <v>3759</v>
      </c>
      <c r="E704" s="4" t="str">
        <f>'[3]rio results'!M704</f>
        <v>10.7238/d.v0i33.431332</v>
      </c>
      <c r="F704" s="4">
        <v>0</v>
      </c>
    </row>
    <row r="705" spans="1:6" x14ac:dyDescent="0.45">
      <c r="A705" t="s">
        <v>3760</v>
      </c>
      <c r="B705" t="str">
        <f>_xlfn.REGEXREPLACE([3]query3!B705, "https://doi.org/", "")</f>
        <v>10.20933/100001250</v>
      </c>
      <c r="C705">
        <v>0</v>
      </c>
      <c r="D705" s="4" t="s">
        <v>3761</v>
      </c>
      <c r="E705" s="4" t="str">
        <f>'[3]rio results'!M705</f>
        <v>10.1007/978-3-031-72182-3_8</v>
      </c>
      <c r="F705" s="4">
        <v>0</v>
      </c>
    </row>
    <row r="706" spans="1:6" x14ac:dyDescent="0.45">
      <c r="A706" t="s">
        <v>3762</v>
      </c>
      <c r="B706" t="str">
        <f>_xlfn.REGEXREPLACE([3]query3!B706, "https://doi.org/", "")</f>
        <v>10.20933/100001254</v>
      </c>
      <c r="C706">
        <v>0</v>
      </c>
      <c r="D706" s="4" t="s">
        <v>3680</v>
      </c>
      <c r="E706" s="4" t="str">
        <f>'[3]rio results'!M706</f>
        <v>10.1007/978-3-031-67943-8_13</v>
      </c>
      <c r="F706" s="4">
        <v>0</v>
      </c>
    </row>
    <row r="707" spans="1:6" x14ac:dyDescent="0.45">
      <c r="A707" t="s">
        <v>3763</v>
      </c>
      <c r="B707" t="str">
        <f>_xlfn.REGEXREPLACE([3]query3!B707, "https://doi.org/", "")</f>
        <v>10.20933/100001253</v>
      </c>
      <c r="C707">
        <v>0</v>
      </c>
      <c r="D707" s="4" t="s">
        <v>3764</v>
      </c>
      <c r="E707" s="4" t="str">
        <f>'[3]rio results'!M707</f>
        <v>10.4337/9781803924830.00009</v>
      </c>
      <c r="F707" s="4">
        <v>0</v>
      </c>
    </row>
    <row r="708" spans="1:6" x14ac:dyDescent="0.45">
      <c r="A708" t="s">
        <v>3765</v>
      </c>
      <c r="B708" t="str">
        <f>_xlfn.REGEXREPLACE([3]query3!B708, "https://doi.org/", "")</f>
        <v>10.1215/00219118-11280945</v>
      </c>
      <c r="C708">
        <v>0</v>
      </c>
      <c r="D708" s="4" t="s">
        <v>3330</v>
      </c>
      <c r="E708" s="4" t="str">
        <f>'[3]rio results'!M708</f>
        <v>10.1016/B978-0-323-90386-8.00046-2</v>
      </c>
      <c r="F708" s="4">
        <v>0</v>
      </c>
    </row>
    <row r="709" spans="1:6" x14ac:dyDescent="0.45">
      <c r="A709" t="s">
        <v>2670</v>
      </c>
      <c r="B709" t="str">
        <f>_xlfn.REGEXREPLACE([3]query3!B709, "https://doi.org/", "")</f>
        <v>10.1038/s41562-019-0815-z</v>
      </c>
      <c r="C709">
        <v>0</v>
      </c>
      <c r="D709" s="4" t="s">
        <v>3766</v>
      </c>
      <c r="E709" s="4" t="str">
        <f>'[3]rio results'!M709</f>
        <v>10.1163/9789004641228</v>
      </c>
      <c r="F709" s="4">
        <v>0</v>
      </c>
    </row>
    <row r="710" spans="1:6" x14ac:dyDescent="0.45">
      <c r="A710" t="s">
        <v>3767</v>
      </c>
      <c r="B710" t="str">
        <f>_xlfn.REGEXREPLACE([3]query3!B710, "https://doi.org/", "")</f>
        <v>10.1080/14616734.2020.1840762</v>
      </c>
      <c r="C710">
        <v>0</v>
      </c>
      <c r="D710" s="4" t="s">
        <v>3454</v>
      </c>
      <c r="E710" s="4" t="str">
        <f>'[3]rio results'!M710</f>
        <v>10.1371/journal.pone.0294608</v>
      </c>
      <c r="F710" s="4">
        <v>0</v>
      </c>
    </row>
    <row r="711" spans="1:6" x14ac:dyDescent="0.45">
      <c r="A711" t="s">
        <v>2683</v>
      </c>
      <c r="B711" t="str">
        <f>_xlfn.REGEXREPLACE([3]query3!B711, "https://doi.org/", "")</f>
        <v>10.1038/s41467-022-35091-x</v>
      </c>
      <c r="C711">
        <v>0</v>
      </c>
      <c r="D711" s="4" t="s">
        <v>3768</v>
      </c>
      <c r="E711" s="4" t="str">
        <f>'[3]rio results'!M711</f>
        <v>10.1177/14748851211073728</v>
      </c>
      <c r="F711" s="4">
        <v>0</v>
      </c>
    </row>
    <row r="712" spans="1:6" x14ac:dyDescent="0.45">
      <c r="A712" t="s">
        <v>3769</v>
      </c>
      <c r="B712" t="str">
        <f>_xlfn.REGEXREPLACE([3]query3!B712, "https://doi.org/", "")</f>
        <v>10.1111/add.16096</v>
      </c>
      <c r="C712">
        <v>0</v>
      </c>
      <c r="D712" s="4" t="s">
        <v>3770</v>
      </c>
      <c r="E712" s="4" t="str">
        <f>'[3]rio results'!M712</f>
        <v>10.1163/9789004643772_007</v>
      </c>
      <c r="F712" s="4">
        <v>0</v>
      </c>
    </row>
    <row r="713" spans="1:6" x14ac:dyDescent="0.45">
      <c r="A713" t="s">
        <v>3771</v>
      </c>
      <c r="B713" t="str">
        <f>_xlfn.REGEXREPLACE([3]query3!B713, "https://doi.org/", "")</f>
        <v>10.32799/ijih.v16i1.36021</v>
      </c>
      <c r="C713">
        <v>0</v>
      </c>
      <c r="D713" s="4" t="s">
        <v>3772</v>
      </c>
      <c r="E713" s="4">
        <f>'[3]rio results'!M713</f>
        <v>0</v>
      </c>
      <c r="F713" s="4">
        <v>0</v>
      </c>
    </row>
    <row r="714" spans="1:6" x14ac:dyDescent="0.45">
      <c r="A714" t="s">
        <v>3773</v>
      </c>
      <c r="B714" t="str">
        <f>_xlfn.REGEXREPLACE([3]query3!B714, "https://doi.org/", "")</f>
        <v>10.1080/14616734.2020.1840762</v>
      </c>
      <c r="C714">
        <v>0</v>
      </c>
      <c r="D714" s="4" t="s">
        <v>3774</v>
      </c>
      <c r="E714" s="4" t="str">
        <f>'[3]rio results'!M714</f>
        <v>10.3138/uhr-2022-0033</v>
      </c>
      <c r="F714" s="4">
        <v>0</v>
      </c>
    </row>
    <row r="715" spans="1:6" x14ac:dyDescent="0.45">
      <c r="A715" t="s">
        <v>3775</v>
      </c>
      <c r="B715" t="str">
        <f>_xlfn.REGEXREPLACE([3]query3!B715, "https://doi.org/", "")</f>
        <v>10.3389/fmars.2024.1364263</v>
      </c>
      <c r="C715">
        <v>0</v>
      </c>
      <c r="D715" s="4" t="s">
        <v>3776</v>
      </c>
      <c r="E715" s="4" t="str">
        <f>'[3]rio results'!M715</f>
        <v>10.3138/9781487555382-022</v>
      </c>
      <c r="F715" s="4">
        <v>0</v>
      </c>
    </row>
    <row r="716" spans="1:6" x14ac:dyDescent="0.45">
      <c r="A716" t="s">
        <v>2744</v>
      </c>
      <c r="B716" t="str">
        <f>_xlfn.REGEXREPLACE([3]query3!B716, "https://doi.org/", "")</f>
        <v>10.1017/sus.2023.25</v>
      </c>
      <c r="C716">
        <v>0</v>
      </c>
      <c r="D716" s="4" t="s">
        <v>3607</v>
      </c>
      <c r="E716" s="4" t="str">
        <f>'[3]rio results'!M716</f>
        <v>10.1016/j.drugpo.2023.104018</v>
      </c>
      <c r="F716" s="4">
        <v>0</v>
      </c>
    </row>
    <row r="717" spans="1:6" x14ac:dyDescent="0.45">
      <c r="A717" t="s">
        <v>2670</v>
      </c>
      <c r="B717" t="str">
        <f>_xlfn.REGEXREPLACE([3]query3!B717, "https://doi.org/", "")</f>
        <v>10.31234/osf.io/qc8tp</v>
      </c>
      <c r="C717">
        <v>0</v>
      </c>
      <c r="D717" s="4" t="s">
        <v>3777</v>
      </c>
      <c r="E717" s="4" t="str">
        <f>'[3]rio results'!M717</f>
        <v>10.1007/s10784-022-09586-3</v>
      </c>
      <c r="F717" s="4">
        <v>0</v>
      </c>
    </row>
    <row r="718" spans="1:6" x14ac:dyDescent="0.45">
      <c r="A718" t="s">
        <v>3778</v>
      </c>
      <c r="B718" t="str">
        <f>_xlfn.REGEXREPLACE([3]query3!B718, "https://doi.org/", "")</f>
        <v>10.5093/apj2021a26</v>
      </c>
      <c r="C718">
        <v>0</v>
      </c>
      <c r="D718" s="4" t="s">
        <v>3779</v>
      </c>
      <c r="E718" s="4">
        <f>'[3]rio results'!M718</f>
        <v>0</v>
      </c>
      <c r="F718" s="4">
        <v>0</v>
      </c>
    </row>
    <row r="719" spans="1:6" x14ac:dyDescent="0.45">
      <c r="A719" t="s">
        <v>3621</v>
      </c>
      <c r="B719" t="str">
        <f>_xlfn.REGEXREPLACE([3]query3!B719, "https://doi.org/", "")</f>
        <v>10.1099/mgen.0.001293</v>
      </c>
      <c r="C719">
        <v>0</v>
      </c>
      <c r="D719" s="4" t="s">
        <v>3780</v>
      </c>
      <c r="E719" s="4">
        <f>'[3]rio results'!M719</f>
        <v>0</v>
      </c>
      <c r="F719" s="4">
        <v>0</v>
      </c>
    </row>
    <row r="720" spans="1:6" x14ac:dyDescent="0.45">
      <c r="D720" s="4" t="s">
        <v>3781</v>
      </c>
      <c r="E720" s="4">
        <f>'[3]rio results'!M720</f>
        <v>0</v>
      </c>
      <c r="F720" s="4">
        <v>0</v>
      </c>
    </row>
    <row r="721" spans="4:6" x14ac:dyDescent="0.45">
      <c r="D721" s="4" t="s">
        <v>3782</v>
      </c>
      <c r="E721" s="4" t="str">
        <f>'[3]rio results'!M721</f>
        <v>10.5465/AMPROC.2023.173bp</v>
      </c>
      <c r="F721" s="4">
        <v>0</v>
      </c>
    </row>
    <row r="722" spans="4:6" x14ac:dyDescent="0.45">
      <c r="D722" s="4" t="s">
        <v>3529</v>
      </c>
      <c r="E722" s="4" t="str">
        <f>'[3]rio results'!M722</f>
        <v>10.1007/978-3-031-25871-8_4</v>
      </c>
      <c r="F722" s="4">
        <v>0</v>
      </c>
    </row>
    <row r="723" spans="4:6" x14ac:dyDescent="0.45">
      <c r="D723" s="4" t="s">
        <v>3783</v>
      </c>
      <c r="E723" s="4">
        <f>'[3]rio results'!M723</f>
        <v>0</v>
      </c>
      <c r="F723" s="4">
        <v>0</v>
      </c>
    </row>
    <row r="724" spans="4:6" x14ac:dyDescent="0.45">
      <c r="D724" s="4" t="s">
        <v>3784</v>
      </c>
      <c r="E724" s="4">
        <f>'[3]rio results'!M724</f>
        <v>0</v>
      </c>
      <c r="F724" s="4">
        <v>0</v>
      </c>
    </row>
    <row r="725" spans="4:6" x14ac:dyDescent="0.45">
      <c r="D725" s="4" t="s">
        <v>3785</v>
      </c>
      <c r="E725" s="4" t="str">
        <f>'[3]rio results'!M725</f>
        <v>10.1007/978-3-031-04504-2_7</v>
      </c>
      <c r="F725" s="4">
        <v>0</v>
      </c>
    </row>
    <row r="726" spans="4:6" x14ac:dyDescent="0.45">
      <c r="D726" s="4" t="s">
        <v>3693</v>
      </c>
      <c r="E726" s="4" t="str">
        <f>'[3]rio results'!M726</f>
        <v>10.3934/math.2023619</v>
      </c>
      <c r="F726" s="4">
        <v>0</v>
      </c>
    </row>
    <row r="727" spans="4:6" x14ac:dyDescent="0.45">
      <c r="D727" s="4" t="s">
        <v>3786</v>
      </c>
      <c r="E727" s="4" t="str">
        <f>'[3]rio results'!M727</f>
        <v>10.7440/antipoda50.2023.01</v>
      </c>
      <c r="F727" s="4">
        <v>0</v>
      </c>
    </row>
    <row r="728" spans="4:6" x14ac:dyDescent="0.45">
      <c r="D728" s="4" t="s">
        <v>3600</v>
      </c>
      <c r="E728" s="4" t="str">
        <f>'[3]rio results'!M728</f>
        <v>10.1080/10410236.2022.2149112</v>
      </c>
      <c r="F728" s="4">
        <v>0</v>
      </c>
    </row>
    <row r="729" spans="4:6" x14ac:dyDescent="0.45">
      <c r="D729" s="4" t="s">
        <v>3787</v>
      </c>
      <c r="E729" s="4" t="str">
        <f>'[3]rio results'!M729</f>
        <v>10.5117/9789463720762_CH04</v>
      </c>
      <c r="F729" s="4">
        <v>0</v>
      </c>
    </row>
    <row r="730" spans="4:6" x14ac:dyDescent="0.45">
      <c r="D730" s="4" t="s">
        <v>3486</v>
      </c>
      <c r="E730" s="4" t="str">
        <f>'[3]rio results'!M730</f>
        <v>10.1007/978-3-030-66252-3_1312</v>
      </c>
      <c r="F730" s="4">
        <v>0</v>
      </c>
    </row>
    <row r="731" spans="4:6" x14ac:dyDescent="0.45">
      <c r="D731" s="4" t="s">
        <v>3788</v>
      </c>
      <c r="E731" s="4" t="str">
        <f>'[3]rio results'!M731</f>
        <v>10.5509/2022954707</v>
      </c>
      <c r="F731" s="4">
        <v>0</v>
      </c>
    </row>
    <row r="732" spans="4:6" x14ac:dyDescent="0.45">
      <c r="D732" s="4" t="s">
        <v>3789</v>
      </c>
      <c r="E732" s="4" t="str">
        <f>'[3]rio results'!M732</f>
        <v>10.1002/cjas.1678</v>
      </c>
      <c r="F732" s="4">
        <v>0</v>
      </c>
    </row>
    <row r="733" spans="4:6" x14ac:dyDescent="0.45">
      <c r="D733" s="4" t="s">
        <v>3790</v>
      </c>
      <c r="E733" s="4" t="str">
        <f>'[3]rio results'!M733</f>
        <v>10.1017/9781009001021.026</v>
      </c>
      <c r="F733" s="4">
        <v>0</v>
      </c>
    </row>
    <row r="734" spans="4:6" x14ac:dyDescent="0.45">
      <c r="D734" s="4" t="s">
        <v>3703</v>
      </c>
      <c r="E734" s="4" t="str">
        <f>'[3]rio results'!M734</f>
        <v>10.1016/j.ijedudev.2022.102672</v>
      </c>
      <c r="F734" s="4">
        <v>0</v>
      </c>
    </row>
    <row r="735" spans="4:6" x14ac:dyDescent="0.45">
      <c r="D735" s="4" t="s">
        <v>3791</v>
      </c>
      <c r="E735" s="4" t="str">
        <f>'[3]rio results'!M735</f>
        <v>10.1108/978-1-83982-468-520221009</v>
      </c>
      <c r="F735" s="4">
        <v>0</v>
      </c>
    </row>
    <row r="736" spans="4:6" x14ac:dyDescent="0.45">
      <c r="D736" s="4" t="s">
        <v>3720</v>
      </c>
      <c r="E736" s="4" t="str">
        <f>'[3]rio results'!M736</f>
        <v>10.3390/jrfm15090387</v>
      </c>
      <c r="F736" s="4">
        <v>0</v>
      </c>
    </row>
    <row r="737" spans="4:6" x14ac:dyDescent="0.45">
      <c r="D737" s="4" t="s">
        <v>3792</v>
      </c>
      <c r="E737" s="4" t="str">
        <f>'[3]rio results'!M737</f>
        <v>10.1503/cjs.007920</v>
      </c>
      <c r="F737" s="4">
        <v>0</v>
      </c>
    </row>
    <row r="738" spans="4:6" x14ac:dyDescent="0.45">
      <c r="D738" s="4" t="s">
        <v>3577</v>
      </c>
      <c r="E738" s="4" t="str">
        <f>'[3]rio results'!M738</f>
        <v>10.1142/9789811249723_0016</v>
      </c>
      <c r="F738" s="4">
        <v>0</v>
      </c>
    </row>
    <row r="739" spans="4:6" x14ac:dyDescent="0.45">
      <c r="D739" s="4" t="s">
        <v>3793</v>
      </c>
      <c r="E739" s="4">
        <f>'[3]rio results'!M739</f>
        <v>0</v>
      </c>
      <c r="F739" s="4">
        <v>0</v>
      </c>
    </row>
    <row r="740" spans="4:6" x14ac:dyDescent="0.45">
      <c r="D740" s="4" t="s">
        <v>3794</v>
      </c>
      <c r="E740" s="4" t="str">
        <f>'[3]rio results'!M740</f>
        <v>10.5465/AMBPP.2022.126</v>
      </c>
      <c r="F740" s="4">
        <v>0</v>
      </c>
    </row>
    <row r="741" spans="4:6" x14ac:dyDescent="0.45">
      <c r="D741" s="4" t="s">
        <v>3636</v>
      </c>
      <c r="E741" s="4" t="str">
        <f>'[3]rio results'!M741</f>
        <v>10.1007/978-3-030-84694-7_51</v>
      </c>
      <c r="F741" s="4">
        <v>0</v>
      </c>
    </row>
    <row r="742" spans="4:6" x14ac:dyDescent="0.45">
      <c r="D742" s="4" t="s">
        <v>3663</v>
      </c>
      <c r="E742" s="4" t="str">
        <f>'[3]rio results'!M742</f>
        <v>10.1007/978-3-030-81877-7_2</v>
      </c>
      <c r="F742" s="4">
        <v>0</v>
      </c>
    </row>
    <row r="743" spans="4:6" x14ac:dyDescent="0.45">
      <c r="D743" s="4" t="s">
        <v>3795</v>
      </c>
      <c r="E743" s="4" t="str">
        <f>'[3]rio results'!M743</f>
        <v>10.1007/978-3-030-81534-9_10</v>
      </c>
      <c r="F743" s="4">
        <v>0</v>
      </c>
    </row>
    <row r="744" spans="4:6" x14ac:dyDescent="0.45">
      <c r="D744" s="4" t="s">
        <v>3796</v>
      </c>
      <c r="E744" s="4" t="str">
        <f>'[3]rio results'!M744</f>
        <v>10.1007/978-3-031-20624-5_32</v>
      </c>
      <c r="F744" s="4">
        <v>0</v>
      </c>
    </row>
    <row r="745" spans="4:6" x14ac:dyDescent="0.45">
      <c r="D745" s="4" t="s">
        <v>3797</v>
      </c>
      <c r="E745" s="4" t="str">
        <f>'[3]rio results'!M745</f>
        <v>10.4324/9781003191049-17</v>
      </c>
      <c r="F745" s="4">
        <v>0</v>
      </c>
    </row>
    <row r="746" spans="4:6" x14ac:dyDescent="0.45">
      <c r="D746" s="4" t="s">
        <v>3798</v>
      </c>
      <c r="E746" s="4" t="str">
        <f>'[3]rio results'!M746</f>
        <v>10.4324/9781003264262-4</v>
      </c>
      <c r="F746" s="4">
        <v>0</v>
      </c>
    </row>
    <row r="747" spans="4:6" x14ac:dyDescent="0.45">
      <c r="D747" s="4" t="s">
        <v>3799</v>
      </c>
      <c r="E747" s="4" t="str">
        <f>'[3]rio results'!M747</f>
        <v>10.22230/cjc.2022v47n1a3841</v>
      </c>
      <c r="F747" s="4">
        <v>0</v>
      </c>
    </row>
    <row r="748" spans="4:6" x14ac:dyDescent="0.45">
      <c r="D748" s="4" t="s">
        <v>3648</v>
      </c>
      <c r="E748" s="4" t="str">
        <f>'[3]rio results'!M748</f>
        <v>10.1080/14797585.2022.2040336</v>
      </c>
      <c r="F748" s="4">
        <v>0</v>
      </c>
    </row>
    <row r="749" spans="4:6" x14ac:dyDescent="0.45">
      <c r="D749" s="4" t="s">
        <v>3800</v>
      </c>
      <c r="E749" s="4" t="str">
        <f>'[3]rio results'!M749</f>
        <v>10.1017/9781009037075.012</v>
      </c>
      <c r="F749" s="4">
        <v>0</v>
      </c>
    </row>
    <row r="750" spans="4:6" x14ac:dyDescent="0.45">
      <c r="D750" s="4" t="s">
        <v>3801</v>
      </c>
      <c r="E750" s="4">
        <f>'[3]rio results'!M750</f>
        <v>0</v>
      </c>
      <c r="F750" s="4">
        <v>0</v>
      </c>
    </row>
    <row r="751" spans="4:6" x14ac:dyDescent="0.45">
      <c r="D751" s="4" t="s">
        <v>3692</v>
      </c>
      <c r="E751" s="4" t="str">
        <f>'[3]rio results'!M751</f>
        <v>10.1177/11771801211038395</v>
      </c>
      <c r="F751" s="4">
        <v>0</v>
      </c>
    </row>
    <row r="752" spans="4:6" x14ac:dyDescent="0.45">
      <c r="D752" s="4" t="s">
        <v>3802</v>
      </c>
      <c r="E752" s="4">
        <f>'[3]rio results'!M752</f>
        <v>0</v>
      </c>
      <c r="F752" s="4">
        <v>0</v>
      </c>
    </row>
    <row r="753" spans="4:6" x14ac:dyDescent="0.45">
      <c r="D753" s="4" t="s">
        <v>3803</v>
      </c>
      <c r="E753" s="4" t="str">
        <f>'[3]rio results'!M753</f>
        <v>10.1177/0020702021996315</v>
      </c>
      <c r="F753" s="4">
        <v>0</v>
      </c>
    </row>
    <row r="754" spans="4:6" x14ac:dyDescent="0.45">
      <c r="D754" s="4" t="s">
        <v>3804</v>
      </c>
      <c r="E754" s="4" t="str">
        <f>'[3]rio results'!M754</f>
        <v>10.1007/978-3-030-54169-9_7</v>
      </c>
      <c r="F754" s="4">
        <v>0</v>
      </c>
    </row>
    <row r="755" spans="4:6" x14ac:dyDescent="0.45">
      <c r="D755" s="4" t="s">
        <v>3805</v>
      </c>
      <c r="E755" s="4" t="str">
        <f>'[3]rio results'!M755</f>
        <v>10.14746/PRT2021.4.4</v>
      </c>
      <c r="F755" s="4">
        <v>0</v>
      </c>
    </row>
    <row r="756" spans="4:6" x14ac:dyDescent="0.45">
      <c r="D756" s="4" t="s">
        <v>3806</v>
      </c>
      <c r="E756" s="4" t="str">
        <f>'[3]rio results'!M756</f>
        <v>10.1007/978-3-030-71527-4_7</v>
      </c>
      <c r="F756" s="4">
        <v>0</v>
      </c>
    </row>
    <row r="757" spans="4:6" x14ac:dyDescent="0.45">
      <c r="D757" s="4" t="s">
        <v>3807</v>
      </c>
      <c r="E757" s="4" t="str">
        <f>'[3]rio results'!M757</f>
        <v>10.4324/9780429286322-37</v>
      </c>
      <c r="F757" s="4">
        <v>0</v>
      </c>
    </row>
    <row r="758" spans="4:6" x14ac:dyDescent="0.45">
      <c r="D758" s="4" t="s">
        <v>3808</v>
      </c>
      <c r="E758" s="4" t="str">
        <f>'[3]rio results'!M758</f>
        <v>10.1163/1569206X-12342005</v>
      </c>
      <c r="F758" s="4">
        <v>0</v>
      </c>
    </row>
    <row r="759" spans="4:6" x14ac:dyDescent="0.45">
      <c r="D759" s="4" t="s">
        <v>3809</v>
      </c>
      <c r="E759" s="4">
        <f>'[3]rio results'!M759</f>
        <v>0</v>
      </c>
      <c r="F759" s="4">
        <v>0</v>
      </c>
    </row>
    <row r="760" spans="4:6" x14ac:dyDescent="0.45">
      <c r="D760" s="4" t="s">
        <v>3810</v>
      </c>
      <c r="E760" s="4" t="str">
        <f>'[3]rio results'!M760</f>
        <v>10.7870/cjcmh-2020-028</v>
      </c>
      <c r="F760" s="4">
        <v>0</v>
      </c>
    </row>
    <row r="761" spans="4:6" x14ac:dyDescent="0.45">
      <c r="D761" s="4" t="s">
        <v>3811</v>
      </c>
      <c r="E761" s="4" t="str">
        <f>'[3]rio results'!M761</f>
        <v>10.33182/ijor.v1i1.1104</v>
      </c>
      <c r="F761" s="4">
        <v>0</v>
      </c>
    </row>
    <row r="762" spans="4:6" x14ac:dyDescent="0.45">
      <c r="D762" s="4" t="s">
        <v>3283</v>
      </c>
      <c r="E762" s="4" t="str">
        <f>'[3]rio results'!M762</f>
        <v>10.1177/0169796X20962878</v>
      </c>
      <c r="F762" s="4">
        <v>0</v>
      </c>
    </row>
    <row r="763" spans="4:6" x14ac:dyDescent="0.45">
      <c r="D763" s="4" t="s">
        <v>3812</v>
      </c>
      <c r="E763" s="4" t="str">
        <f>'[3]rio results'!M763</f>
        <v>10.1177/0169796X20948002</v>
      </c>
      <c r="F763" s="4">
        <v>0</v>
      </c>
    </row>
    <row r="764" spans="4:6" x14ac:dyDescent="0.45">
      <c r="D764" s="4" t="s">
        <v>3385</v>
      </c>
      <c r="E764" s="4" t="str">
        <f>'[3]rio results'!M764</f>
        <v>10.1016/j.wneu.2020.02.133</v>
      </c>
      <c r="F764" s="4">
        <v>0</v>
      </c>
    </row>
    <row r="765" spans="4:6" x14ac:dyDescent="0.45">
      <c r="D765" s="4" t="s">
        <v>3813</v>
      </c>
      <c r="E765" s="4" t="str">
        <f>'[3]rio results'!M765</f>
        <v>10.1007/978-3-030-23210-8_128</v>
      </c>
      <c r="F765" s="4">
        <v>0</v>
      </c>
    </row>
    <row r="766" spans="4:6" x14ac:dyDescent="0.45">
      <c r="D766" s="4" t="s">
        <v>2278</v>
      </c>
      <c r="E766" s="4" t="str">
        <f>'[3]rio results'!M766</f>
        <v>10.4337/9781788978927.00023</v>
      </c>
      <c r="F766" s="4">
        <v>0</v>
      </c>
    </row>
    <row r="767" spans="4:6" x14ac:dyDescent="0.45">
      <c r="D767" s="4" t="s">
        <v>3814</v>
      </c>
      <c r="E767" s="4" t="str">
        <f>'[3]rio results'!M767</f>
        <v>10.4337/9781788978927.00024</v>
      </c>
      <c r="F767" s="4">
        <v>0</v>
      </c>
    </row>
    <row r="768" spans="4:6" x14ac:dyDescent="0.45">
      <c r="D768" s="4" t="s">
        <v>3815</v>
      </c>
      <c r="E768" s="4" t="str">
        <f>'[3]rio results'!M768</f>
        <v>10.1332/175795919X15717233852148</v>
      </c>
      <c r="F768" s="4">
        <v>0</v>
      </c>
    </row>
    <row r="769" spans="4:6" x14ac:dyDescent="0.45">
      <c r="D769" s="4" t="s">
        <v>3816</v>
      </c>
      <c r="E769" s="4" t="str">
        <f>'[3]rio results'!M769</f>
        <v>10.1002/9781118635193.ctwl0211</v>
      </c>
      <c r="F769" s="4">
        <v>0</v>
      </c>
    </row>
  </sheetData>
  <conditionalFormatting sqref="B2:B719">
    <cfRule type="expression" dxfId="1" priority="2">
      <formula>COUNTIF($E:$E, B2)=0</formula>
    </cfRule>
  </conditionalFormatting>
  <conditionalFormatting sqref="E2:E769">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 1</vt:lpstr>
      <vt:lpstr>QUERY 2</vt:lpstr>
      <vt:lpstr>QUERY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Pocrnjic</dc:creator>
  <cp:lastModifiedBy>Tania Pocrnjic</cp:lastModifiedBy>
  <dcterms:created xsi:type="dcterms:W3CDTF">2026-03-05T20:25:22Z</dcterms:created>
  <dcterms:modified xsi:type="dcterms:W3CDTF">2026-03-09T17:51:47Z</dcterms:modified>
</cp:coreProperties>
</file>